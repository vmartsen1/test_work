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_MAIN\Files\"/>
    </mc:Choice>
  </mc:AlternateContent>
  <xr:revisionPtr revIDLastSave="0" documentId="13_ncr:1_{0F482E89-1894-4571-971E-A59A02976E72}" xr6:coauthVersionLast="47" xr6:coauthVersionMax="47" xr10:uidLastSave="{00000000-0000-0000-0000-000000000000}"/>
  <bookViews>
    <workbookView xWindow="-108" yWindow="-108" windowWidth="23256" windowHeight="13896" xr2:uid="{BBF8C290-E26F-4329-9E32-5C52CE747AC5}"/>
  </bookViews>
  <sheets>
    <sheet name="Job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C11" i="1"/>
</calcChain>
</file>

<file path=xl/sharedStrings.xml><?xml version="1.0" encoding="utf-8"?>
<sst xmlns="http://schemas.openxmlformats.org/spreadsheetml/2006/main" count="661" uniqueCount="212">
  <si>
    <t>UPDM field name</t>
  </si>
  <si>
    <t>System</t>
  </si>
  <si>
    <t>Entity</t>
  </si>
  <si>
    <t>EntityField</t>
  </si>
  <si>
    <t>RelationsshipName</t>
  </si>
  <si>
    <t>Definition</t>
  </si>
  <si>
    <t>Datatype</t>
  </si>
  <si>
    <t>Format</t>
  </si>
  <si>
    <t>Applied Logic</t>
  </si>
  <si>
    <t>Comments</t>
  </si>
  <si>
    <t>COALESC Order</t>
  </si>
  <si>
    <t>Branch</t>
  </si>
  <si>
    <t>OPS</t>
  </si>
  <si>
    <t>ICO</t>
  </si>
  <si>
    <t>ICOId</t>
  </si>
  <si>
    <t>TMFF</t>
  </si>
  <si>
    <t>JOB</t>
  </si>
  <si>
    <t>OWNERID</t>
  </si>
  <si>
    <t>CarrierCode</t>
  </si>
  <si>
    <t>tblShipmentParty (AccountNo) union tblCustomer (CustNo)</t>
  </si>
  <si>
    <t>CARRIERCODE, CARRIERID</t>
  </si>
  <si>
    <t>CarrierName</t>
  </si>
  <si>
    <t>CARRIERNAME ?</t>
  </si>
  <si>
    <t>ChargeableWeight</t>
  </si>
  <si>
    <t>tblAWBPieces, tblAWBCalcValues</t>
  </si>
  <si>
    <t>ChgWght, AWBChrgWt</t>
  </si>
  <si>
    <t>tblAWBPieces (ChgWght) for 'FCL', in other cases - tblAWBCalcValues (AWBChgWght)</t>
  </si>
  <si>
    <t>TOTCWGT</t>
  </si>
  <si>
    <t>ClosingDate</t>
  </si>
  <si>
    <t>AWB_RECAP</t>
  </si>
  <si>
    <t>EntryDate</t>
  </si>
  <si>
    <t>OPS_RECAP</t>
  </si>
  <si>
    <t>STATUSDATE</t>
  </si>
  <si>
    <t>TMFF_JOBINTFEXPDTL</t>
  </si>
  <si>
    <t>MIN(STATUSDATE) where  refno1 = 'OPSTATUS_CLOSE'</t>
  </si>
  <si>
    <t>ConsigneeAddress1</t>
  </si>
  <si>
    <t>AWB_CONSIGNEE</t>
  </si>
  <si>
    <t>Address1</t>
  </si>
  <si>
    <t>OPS_CONSIGNEE</t>
  </si>
  <si>
    <t>PARTY</t>
  </si>
  <si>
    <t>ADDR1</t>
  </si>
  <si>
    <t>TMFF_CONSIGNEEADDR</t>
  </si>
  <si>
    <t>ConsigneeAddress2</t>
  </si>
  <si>
    <t>Address2</t>
  </si>
  <si>
    <t>ADDR2</t>
  </si>
  <si>
    <t>ConsigneeAddress3</t>
  </si>
  <si>
    <t>Address3</t>
  </si>
  <si>
    <t>ADDR3</t>
  </si>
  <si>
    <t>ConsigneeAddress4</t>
  </si>
  <si>
    <t>ADDR4</t>
  </si>
  <si>
    <t>ConsigneeCity</t>
  </si>
  <si>
    <t>City</t>
  </si>
  <si>
    <t>CITYNAME</t>
  </si>
  <si>
    <t>ConsigneeCountryCode</t>
  </si>
  <si>
    <t>Country</t>
  </si>
  <si>
    <t>CTRYCODE</t>
  </si>
  <si>
    <t>ConsigneeID</t>
  </si>
  <si>
    <t>PARTYID</t>
  </si>
  <si>
    <t>TMFF_CONSIGNEE</t>
  </si>
  <si>
    <t>ConsigneeName</t>
  </si>
  <si>
    <t>Name</t>
  </si>
  <si>
    <t>FULLNAME</t>
  </si>
  <si>
    <t>ConsigneePostalCode</t>
  </si>
  <si>
    <t>Zip</t>
  </si>
  <si>
    <t>POSTALCODE</t>
  </si>
  <si>
    <t>ConsigneeState</t>
  </si>
  <si>
    <t>State</t>
  </si>
  <si>
    <t>STATEPROV</t>
  </si>
  <si>
    <t>CreateDate</t>
  </si>
  <si>
    <t>AWB</t>
  </si>
  <si>
    <t>CREATEDATE</t>
  </si>
  <si>
    <t>CustomerAddress1</t>
  </si>
  <si>
    <t>LU_CUSTOMER</t>
  </si>
  <si>
    <t>OPS_CUSTOMER</t>
  </si>
  <si>
    <t>TMFF_CUSTOMERADDR</t>
  </si>
  <si>
    <t>CustomerAddress2</t>
  </si>
  <si>
    <t>CustomerAddress3</t>
  </si>
  <si>
    <t>CustomerAddress4</t>
  </si>
  <si>
    <t>CustomerCity</t>
  </si>
  <si>
    <t>CustomerCode</t>
  </si>
  <si>
    <t>CustNo</t>
  </si>
  <si>
    <t>CustomerContact</t>
  </si>
  <si>
    <t>Contact</t>
  </si>
  <si>
    <t>CustomerCountryCode</t>
  </si>
  <si>
    <t>CustomerID</t>
  </si>
  <si>
    <t>SlsPsnID</t>
  </si>
  <si>
    <t>TMFF_CUSTOMER</t>
  </si>
  <si>
    <t>CustomerName</t>
  </si>
  <si>
    <t>CustName</t>
  </si>
  <si>
    <t>CustomerPhone</t>
  </si>
  <si>
    <t>Phone</t>
  </si>
  <si>
    <t>CustomerPostalCode</t>
  </si>
  <si>
    <t>CustomerState</t>
  </si>
  <si>
    <t>Delivery</t>
  </si>
  <si>
    <t>tblAWBInternational, MAWBOcean</t>
  </si>
  <si>
    <t>PlDelvCode</t>
  </si>
  <si>
    <t>Multiple</t>
  </si>
  <si>
    <t>DEVRCTRY + DEVRYCITY</t>
  </si>
  <si>
    <t>Department</t>
  </si>
  <si>
    <t>DEPARTMENT</t>
  </si>
  <si>
    <t>DEPTNAME</t>
  </si>
  <si>
    <t>OPS_DEPARTMENT</t>
  </si>
  <si>
    <t>JOBOTHER</t>
  </si>
  <si>
    <t>BIZSCOPE</t>
  </si>
  <si>
    <t>TMFF_JOBOTHER</t>
  </si>
  <si>
    <t>FinalDestination</t>
  </si>
  <si>
    <t>MAWBOCEAN</t>
  </si>
  <si>
    <t>PlDelv</t>
  </si>
  <si>
    <t>OPS_OCEAN</t>
  </si>
  <si>
    <t>MAWB</t>
  </si>
  <si>
    <t>OPS_MAWB</t>
  </si>
  <si>
    <t>DESTCTRY + DESTCITY</t>
  </si>
  <si>
    <t>FinalDestinationDate</t>
  </si>
  <si>
    <t>ScheduledDelivery</t>
  </si>
  <si>
    <t>FINALDESTETADATE</t>
  </si>
  <si>
    <t>FlightNumber</t>
  </si>
  <si>
    <t>AIR</t>
  </si>
  <si>
    <t>BY1FLTNO</t>
  </si>
  <si>
    <t>TMFF_AIR</t>
  </si>
  <si>
    <t>FreightDescription</t>
  </si>
  <si>
    <t>AWB_PIECES</t>
  </si>
  <si>
    <t>FghtDesc</t>
  </si>
  <si>
    <t>OPS_PIECES</t>
  </si>
  <si>
    <t>COMMLOCALDESC</t>
  </si>
  <si>
    <t>House</t>
  </si>
  <si>
    <t>tblAWB</t>
  </si>
  <si>
    <t>HWB</t>
  </si>
  <si>
    <t>SHPNO</t>
  </si>
  <si>
    <t>JobNo</t>
  </si>
  <si>
    <t>JOBNO</t>
  </si>
  <si>
    <t>Master</t>
  </si>
  <si>
    <t>ModeOfTransport</t>
  </si>
  <si>
    <t>lkpDepartment</t>
  </si>
  <si>
    <t>TransportMode_BK</t>
  </si>
  <si>
    <t>BIZTYPE</t>
  </si>
  <si>
    <t>Pieces</t>
  </si>
  <si>
    <t>TotalPieces</t>
  </si>
  <si>
    <t>POD</t>
  </si>
  <si>
    <t>OriginCityCode</t>
  </si>
  <si>
    <t>PtDisch</t>
  </si>
  <si>
    <t>PtDischCode</t>
  </si>
  <si>
    <t>PODCTRY + PODCITY</t>
  </si>
  <si>
    <t>PODETADate</t>
  </si>
  <si>
    <t>ETADate</t>
  </si>
  <si>
    <t>PODETADATE</t>
  </si>
  <si>
    <t>POL</t>
  </si>
  <si>
    <t>DestCityCode</t>
  </si>
  <si>
    <t>PtLoad</t>
  </si>
  <si>
    <t>PtLoadCode</t>
  </si>
  <si>
    <t>PTLOAD</t>
  </si>
  <si>
    <t>POLCTRY + POLCITY</t>
  </si>
  <si>
    <t>POLETDDate</t>
  </si>
  <si>
    <t>ETDDate</t>
  </si>
  <si>
    <t>DepartureDate</t>
  </si>
  <si>
    <t>POLETDDATE</t>
  </si>
  <si>
    <t>POR</t>
  </si>
  <si>
    <t>PlAccept</t>
  </si>
  <si>
    <t>PORCTRY + PORCITY</t>
  </si>
  <si>
    <t>PORETDDate</t>
  </si>
  <si>
    <t>DateShip</t>
  </si>
  <si>
    <t>PORETDDATE</t>
  </si>
  <si>
    <t>ServiceLevel</t>
  </si>
  <si>
    <t>CarrierService</t>
  </si>
  <si>
    <t>ServiceType</t>
  </si>
  <si>
    <t>MoveType</t>
  </si>
  <si>
    <t>ShipmentID</t>
  </si>
  <si>
    <t>LEFT(AWB.HWB,11)</t>
  </si>
  <si>
    <t>GSHIPID</t>
  </si>
  <si>
    <t>ShipperAddress1</t>
  </si>
  <si>
    <t>AWB_SHIPPER</t>
  </si>
  <si>
    <t>OPS_SHIPPER</t>
  </si>
  <si>
    <t>TMFF_SHIPPERADDR</t>
  </si>
  <si>
    <t>ShipperAddress2</t>
  </si>
  <si>
    <t>ShipperAddress3</t>
  </si>
  <si>
    <t>ShipperAddress4</t>
  </si>
  <si>
    <t>ShipperCity</t>
  </si>
  <si>
    <t>ShipperCountryCode</t>
  </si>
  <si>
    <t>ShipperID</t>
  </si>
  <si>
    <t>TMFF_SHIPPER</t>
  </si>
  <si>
    <t>ShipperName</t>
  </si>
  <si>
    <t>ShipperPostalCode</t>
  </si>
  <si>
    <t>ShipperState</t>
  </si>
  <si>
    <t>TEU</t>
  </si>
  <si>
    <t>tblAWBPieces</t>
  </si>
  <si>
    <t xml:space="preserve">TEU =	case 
									when ap.CntSize like '10%' and ap.CnrtLoad = 'FCL' then 0.5 
									when ap.CntSize like '20%' and ap.CnrtLoad = 'FCL'  then 1 
									when ap.CntSize like '40%' and ap.CnrtLoad = 'FCL'  then 2 
									when ap.CntSize like '45%' and ap.CnrtLoad = 'FCL'  then 2.25
									else 0 </t>
  </si>
  <si>
    <t>SEA</t>
  </si>
  <si>
    <t>TOTTEU</t>
  </si>
  <si>
    <t>TMFF_SEA</t>
  </si>
  <si>
    <t>ROAD TEU needs to be added based on ROAD, LOADUNITITEM and LOADUNIT with manully calculated TEU based on size of container</t>
  </si>
  <si>
    <t>TSP</t>
  </si>
  <si>
    <t>JOB_UNID</t>
  </si>
  <si>
    <t>rowguid_AWB</t>
  </si>
  <si>
    <t>UNID</t>
  </si>
  <si>
    <t>VesselName</t>
  </si>
  <si>
    <t>VEWMOTHERVESSEL</t>
  </si>
  <si>
    <t>VESSELNAME</t>
  </si>
  <si>
    <t>TMFF_VEWMOTHERVESSEL</t>
  </si>
  <si>
    <t>VIA</t>
  </si>
  <si>
    <t>GatewayCode</t>
  </si>
  <si>
    <t>VIACTRY+VIACITY</t>
  </si>
  <si>
    <t>Volume</t>
  </si>
  <si>
    <t>Volume2</t>
  </si>
  <si>
    <t>For FLC = ChargeableWeught, others- Volume2 from tblAWB</t>
  </si>
  <si>
    <t>TOTVOL</t>
  </si>
  <si>
    <t>VoyageNo</t>
  </si>
  <si>
    <t>VOYAGE</t>
  </si>
  <si>
    <t>Weight</t>
  </si>
  <si>
    <t>TotalWeight</t>
  </si>
  <si>
    <t>TOTGWGT</t>
  </si>
  <si>
    <t>Weight_UT</t>
  </si>
  <si>
    <t>TotalDimWeight</t>
  </si>
  <si>
    <t>TOTGWGT_UT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</si>
</sst>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A7C43-CE99-4FC0-AA8D-F0ABCB31FDC6}" name="Job" displayName="Job" ref="A1:K145" totalsRowShown="0">
  <autoFilter ref="A1:K145" xr:uid="{679A7C43-CE99-4FC0-AA8D-F0ABCB31FDC6}"/>
  <sortState xmlns:xlrd2="http://schemas.microsoft.com/office/spreadsheetml/2017/richdata2" ref="A2:K145">
    <sortCondition ref="A1:A145"/>
  </sortState>
  <tableColumns count="11">
    <tableColumn id="1" xr3:uid="{4EC4E652-6AA1-417D-A024-087EC45E5DE4}" name="UPDM field name"/>
    <tableColumn id="11" xr3:uid="{A87C1422-F5AC-4515-870A-2478E7F780F2}" name="System"/>
    <tableColumn id="2" xr3:uid="{08D54142-FC0E-4B9F-9B6E-A21FAF702F1B}" name="Entity" dataDxfId="6"/>
    <tableColumn id="9" xr3:uid="{04784085-C108-41D7-AA30-5FA75D25DCB9}" name="EntityField" dataDxfId="5"/>
    <tableColumn id="4" xr3:uid="{7C8EDCEF-F4EB-4A3C-A4FF-8FBD481D22A3}" name="RelationsshipName" dataDxfId="4"/>
    <tableColumn id="6" xr3:uid="{67557CAF-6A68-4389-B04E-765E2CF0141E}" name="Definition" dataDxfId="3">
      <calculatedColumnFormula>VLOOKUP(Job[[#This Row],[UPDM field name]],#REF!,2,FALSE)</calculatedColumnFormula>
    </tableColumn>
    <tableColumn id="7" xr3:uid="{BF9E86AD-DE78-4777-AFC8-333B53FDE602}" name="Datatype" dataDxfId="2">
      <calculatedColumnFormula>VLOOKUP(Job[[#This Row],[UPDM field name]],#REF!,3,FALSE)</calculatedColumnFormula>
    </tableColumn>
    <tableColumn id="8" xr3:uid="{9E9EB6B0-0C54-42B7-AE26-8F25D9ABC6E3}" name="Format" dataDxfId="1">
      <calculatedColumnFormula>VLOOKUP(Job[[#This Row],[UPDM field name]],#REF!,4,FALSE)</calculatedColumnFormula>
    </tableColumn>
    <tableColumn id="10" xr3:uid="{220EFB58-C726-47F8-B9AA-FE284323DB5F}" name="Applied Logic"/>
    <tableColumn id="3" xr3:uid="{7E7E89F1-66AC-4630-9B18-5303B9A26965}" name="Comments"/>
    <tableColumn id="5" xr3:uid="{FEBC5276-916D-4F46-856C-9560AFF9A19B}" name="COALESC 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ABDE-BFCB-4F65-A12E-4EF5E01368C0}">
  <dimension ref="A1:K145"/>
  <sheetViews>
    <sheetView tabSelected="1" zoomScale="115" zoomScaleNormal="115" workbookViewId="0">
      <selection activeCell="D12" sqref="D12"/>
    </sheetView>
  </sheetViews>
  <sheetFormatPr defaultRowHeight="14.4" x14ac:dyDescent="0.3"/>
  <cols>
    <col min="1" max="1" width="20.88671875" bestFit="1" customWidth="1"/>
    <col min="2" max="2" width="14" customWidth="1"/>
    <col min="3" max="3" width="30.88671875" bestFit="1" customWidth="1"/>
    <col min="4" max="4" width="18.6640625" customWidth="1"/>
    <col min="5" max="5" width="23.44140625" bestFit="1" customWidth="1"/>
    <col min="6" max="6" width="32.33203125" bestFit="1" customWidth="1"/>
    <col min="7" max="7" width="10.6640625" bestFit="1" customWidth="1"/>
    <col min="8" max="8" width="9.5546875" bestFit="1" customWidth="1"/>
    <col min="9" max="9" width="21.88671875" bestFit="1" customWidth="1"/>
    <col min="10" max="10" width="119.88671875" bestFit="1" customWidth="1"/>
    <col min="11" max="11" width="16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e">
        <f>VLOOKUP(Job[[#This Row],[UPDM field name]],#REF!,2,FALSE)</f>
        <v>#REF!</v>
      </c>
      <c r="G2" t="e">
        <f>VLOOKUP(Job[[#This Row],[UPDM field name]],#REF!,3,FALSE)</f>
        <v>#REF!</v>
      </c>
      <c r="H2" t="e">
        <f>VLOOKUP(Job[[#This Row],[UPDM field name]],#REF!,4,FALSE)</f>
        <v>#REF!</v>
      </c>
    </row>
    <row r="3" spans="1:11" x14ac:dyDescent="0.3">
      <c r="A3" t="s">
        <v>11</v>
      </c>
      <c r="B3" t="s">
        <v>15</v>
      </c>
      <c r="C3" t="s">
        <v>16</v>
      </c>
      <c r="D3" t="s">
        <v>17</v>
      </c>
      <c r="F3" t="e">
        <f>VLOOKUP(Job[[#This Row],[UPDM field name]],#REF!,2,FALSE)</f>
        <v>#REF!</v>
      </c>
      <c r="G3" t="e">
        <f>VLOOKUP(Job[[#This Row],[UPDM field name]],#REF!,3,FALSE)</f>
        <v>#REF!</v>
      </c>
      <c r="H3" t="e">
        <f>VLOOKUP(Job[[#This Row],[UPDM field name]],#REF!,4,FALSE)</f>
        <v>#REF!</v>
      </c>
    </row>
    <row r="4" spans="1:11" x14ac:dyDescent="0.3">
      <c r="A4" t="s">
        <v>18</v>
      </c>
      <c r="B4" t="s">
        <v>12</v>
      </c>
      <c r="F4" t="e">
        <f>VLOOKUP(Job[[#This Row],[UPDM field name]],#REF!,2,FALSE)</f>
        <v>#REF!</v>
      </c>
      <c r="G4" t="e">
        <f>VLOOKUP(Job[[#This Row],[UPDM field name]],#REF!,3,FALSE)</f>
        <v>#REF!</v>
      </c>
      <c r="H4" t="e">
        <f>VLOOKUP(Job[[#This Row],[UPDM field name]],#REF!,4,FALSE)</f>
        <v>#REF!</v>
      </c>
      <c r="J4" t="s">
        <v>19</v>
      </c>
    </row>
    <row r="5" spans="1:11" x14ac:dyDescent="0.3">
      <c r="A5" t="s">
        <v>18</v>
      </c>
      <c r="B5" t="s">
        <v>15</v>
      </c>
      <c r="C5" t="s">
        <v>16</v>
      </c>
      <c r="D5" t="s">
        <v>20</v>
      </c>
      <c r="F5" t="e">
        <f>VLOOKUP(Job[[#This Row],[UPDM field name]],#REF!,2,FALSE)</f>
        <v>#REF!</v>
      </c>
      <c r="G5" t="e">
        <f>VLOOKUP(Job[[#This Row],[UPDM field name]],#REF!,3,FALSE)</f>
        <v>#REF!</v>
      </c>
      <c r="H5" t="e">
        <f>VLOOKUP(Job[[#This Row],[UPDM field name]],#REF!,4,FALSE)</f>
        <v>#REF!</v>
      </c>
    </row>
    <row r="6" spans="1:11" x14ac:dyDescent="0.3">
      <c r="A6" t="s">
        <v>21</v>
      </c>
      <c r="B6" t="s">
        <v>12</v>
      </c>
      <c r="D6" s="2"/>
      <c r="F6" t="e">
        <f>VLOOKUP(Job[[#This Row],[UPDM field name]],#REF!,2,FALSE)</f>
        <v>#REF!</v>
      </c>
      <c r="G6" t="e">
        <f>VLOOKUP(Job[[#This Row],[UPDM field name]],#REF!,3,FALSE)</f>
        <v>#REF!</v>
      </c>
      <c r="H6" t="e">
        <f>VLOOKUP(Job[[#This Row],[UPDM field name]],#REF!,4,FALSE)</f>
        <v>#REF!</v>
      </c>
    </row>
    <row r="7" spans="1:11" x14ac:dyDescent="0.3">
      <c r="A7" t="s">
        <v>21</v>
      </c>
      <c r="B7" t="s">
        <v>15</v>
      </c>
      <c r="C7" t="s">
        <v>16</v>
      </c>
      <c r="D7" t="s">
        <v>22</v>
      </c>
      <c r="F7" t="e">
        <f>VLOOKUP(Job[[#This Row],[UPDM field name]],#REF!,2,FALSE)</f>
        <v>#REF!</v>
      </c>
      <c r="G7" t="e">
        <f>VLOOKUP(Job[[#This Row],[UPDM field name]],#REF!,3,FALSE)</f>
        <v>#REF!</v>
      </c>
      <c r="H7" t="e">
        <f>VLOOKUP(Job[[#This Row],[UPDM field name]],#REF!,4,FALSE)</f>
        <v>#REF!</v>
      </c>
    </row>
    <row r="8" spans="1:11" x14ac:dyDescent="0.3">
      <c r="A8" t="s">
        <v>23</v>
      </c>
      <c r="B8" t="s">
        <v>12</v>
      </c>
      <c r="C8" t="s">
        <v>24</v>
      </c>
      <c r="D8" t="s">
        <v>25</v>
      </c>
      <c r="F8" t="e">
        <f>VLOOKUP(Job[[#This Row],[UPDM field name]],#REF!,2,FALSE)</f>
        <v>#REF!</v>
      </c>
      <c r="G8" t="e">
        <f>VLOOKUP(Job[[#This Row],[UPDM field name]],#REF!,3,FALSE)</f>
        <v>#REF!</v>
      </c>
      <c r="H8" t="e">
        <f>VLOOKUP(Job[[#This Row],[UPDM field name]],#REF!,4,FALSE)</f>
        <v>#REF!</v>
      </c>
      <c r="I8" t="s">
        <v>26</v>
      </c>
    </row>
    <row r="9" spans="1:11" x14ac:dyDescent="0.3">
      <c r="A9" t="s">
        <v>23</v>
      </c>
      <c r="B9" t="s">
        <v>15</v>
      </c>
      <c r="C9" t="s">
        <v>16</v>
      </c>
      <c r="D9" t="s">
        <v>27</v>
      </c>
      <c r="F9" t="e">
        <f>VLOOKUP(Job[[#This Row],[UPDM field name]],#REF!,2,FALSE)</f>
        <v>#REF!</v>
      </c>
      <c r="G9" t="e">
        <f>VLOOKUP(Job[[#This Row],[UPDM field name]],#REF!,3,FALSE)</f>
        <v>#REF!</v>
      </c>
      <c r="H9" t="e">
        <f>VLOOKUP(Job[[#This Row],[UPDM field name]],#REF!,4,FALSE)</f>
        <v>#REF!</v>
      </c>
    </row>
    <row r="10" spans="1:11" x14ac:dyDescent="0.3">
      <c r="A10" t="s">
        <v>28</v>
      </c>
      <c r="B10" t="s">
        <v>12</v>
      </c>
      <c r="C10" s="1" t="s">
        <v>29</v>
      </c>
      <c r="D10" t="s">
        <v>30</v>
      </c>
      <c r="E10" t="s">
        <v>31</v>
      </c>
      <c r="F10" t="e">
        <f>VLOOKUP(Job[[#This Row],[UPDM field name]],#REF!,2,FALSE)</f>
        <v>#REF!</v>
      </c>
      <c r="G10" t="e">
        <f>VLOOKUP(Job[[#This Row],[UPDM field name]],#REF!,3,FALSE)</f>
        <v>#REF!</v>
      </c>
      <c r="H10" t="e">
        <f>VLOOKUP(Job[[#This Row],[UPDM field name]],#REF!,4,FALSE)</f>
        <v>#REF!</v>
      </c>
    </row>
    <row r="11" spans="1:11" x14ac:dyDescent="0.3">
      <c r="A11" t="s">
        <v>28</v>
      </c>
      <c r="B11" t="s">
        <v>15</v>
      </c>
      <c r="C11" t="str">
        <f ca="1">UPPER(Job[[#This Row],[Entity]])</f>
        <v>JOBINTFEXPDTL</v>
      </c>
      <c r="D11" t="s">
        <v>32</v>
      </c>
      <c r="E11" t="s">
        <v>33</v>
      </c>
      <c r="F11" t="e">
        <f>VLOOKUP(Job[[#This Row],[UPDM field name]],#REF!,2,FALSE)</f>
        <v>#REF!</v>
      </c>
      <c r="G11" t="e">
        <f>VLOOKUP(Job[[#This Row],[UPDM field name]],#REF!,3,FALSE)</f>
        <v>#REF!</v>
      </c>
      <c r="H11" t="e">
        <f>VLOOKUP(Job[[#This Row],[UPDM field name]],#REF!,4,FALSE)</f>
        <v>#REF!</v>
      </c>
      <c r="I11" t="s">
        <v>34</v>
      </c>
    </row>
    <row r="12" spans="1:11" x14ac:dyDescent="0.3">
      <c r="A12" t="s">
        <v>35</v>
      </c>
      <c r="B12" t="s">
        <v>12</v>
      </c>
      <c r="C12" s="1" t="s">
        <v>36</v>
      </c>
      <c r="D12" t="s">
        <v>37</v>
      </c>
      <c r="E12" t="s">
        <v>38</v>
      </c>
      <c r="F12" t="e">
        <f>VLOOKUP(Job[[#This Row],[UPDM field name]],#REF!,2,FALSE)</f>
        <v>#REF!</v>
      </c>
      <c r="G12" t="e">
        <f>VLOOKUP(Job[[#This Row],[UPDM field name]],#REF!,3,FALSE)</f>
        <v>#REF!</v>
      </c>
      <c r="H12" t="e">
        <f>VLOOKUP(Job[[#This Row],[UPDM field name]],#REF!,4,FALSE)</f>
        <v>#REF!</v>
      </c>
    </row>
    <row r="13" spans="1:11" x14ac:dyDescent="0.3">
      <c r="A13" t="s">
        <v>35</v>
      </c>
      <c r="B13" t="s">
        <v>15</v>
      </c>
      <c r="C13" s="1" t="s">
        <v>39</v>
      </c>
      <c r="D13" t="s">
        <v>40</v>
      </c>
      <c r="E13" t="s">
        <v>41</v>
      </c>
      <c r="F13" t="e">
        <f>VLOOKUP(Job[[#This Row],[UPDM field name]],#REF!,2,FALSE)</f>
        <v>#REF!</v>
      </c>
      <c r="G13" t="e">
        <f>VLOOKUP(Job[[#This Row],[UPDM field name]],#REF!,3,FALSE)</f>
        <v>#REF!</v>
      </c>
      <c r="H13" t="e">
        <f>VLOOKUP(Job[[#This Row],[UPDM field name]],#REF!,4,FALSE)</f>
        <v>#REF!</v>
      </c>
    </row>
    <row r="14" spans="1:11" x14ac:dyDescent="0.3">
      <c r="A14" t="s">
        <v>42</v>
      </c>
      <c r="B14" t="s">
        <v>12</v>
      </c>
      <c r="C14" s="1" t="s">
        <v>36</v>
      </c>
      <c r="D14" t="s">
        <v>43</v>
      </c>
      <c r="E14" t="s">
        <v>38</v>
      </c>
      <c r="F14" t="e">
        <f>VLOOKUP(Job[[#This Row],[UPDM field name]],#REF!,2,FALSE)</f>
        <v>#REF!</v>
      </c>
      <c r="G14" t="e">
        <f>VLOOKUP(Job[[#This Row],[UPDM field name]],#REF!,3,FALSE)</f>
        <v>#REF!</v>
      </c>
      <c r="H14" t="e">
        <f>VLOOKUP(Job[[#This Row],[UPDM field name]],#REF!,4,FALSE)</f>
        <v>#REF!</v>
      </c>
    </row>
    <row r="15" spans="1:11" x14ac:dyDescent="0.3">
      <c r="A15" t="s">
        <v>42</v>
      </c>
      <c r="B15" t="s">
        <v>15</v>
      </c>
      <c r="C15" s="1" t="s">
        <v>39</v>
      </c>
      <c r="D15" t="s">
        <v>44</v>
      </c>
      <c r="E15" t="s">
        <v>41</v>
      </c>
      <c r="F15" t="e">
        <f>VLOOKUP(Job[[#This Row],[UPDM field name]],#REF!,2,FALSE)</f>
        <v>#REF!</v>
      </c>
      <c r="G15" t="e">
        <f>VLOOKUP(Job[[#This Row],[UPDM field name]],#REF!,3,FALSE)</f>
        <v>#REF!</v>
      </c>
      <c r="H15" t="e">
        <f>VLOOKUP(Job[[#This Row],[UPDM field name]],#REF!,4,FALSE)</f>
        <v>#REF!</v>
      </c>
    </row>
    <row r="16" spans="1:11" x14ac:dyDescent="0.3">
      <c r="A16" t="s">
        <v>45</v>
      </c>
      <c r="B16" t="s">
        <v>12</v>
      </c>
      <c r="C16" s="1" t="s">
        <v>36</v>
      </c>
      <c r="D16" t="s">
        <v>46</v>
      </c>
      <c r="E16" t="s">
        <v>38</v>
      </c>
      <c r="F16" t="e">
        <f>VLOOKUP(Job[[#This Row],[UPDM field name]],#REF!,2,FALSE)</f>
        <v>#REF!</v>
      </c>
      <c r="G16" t="e">
        <f>VLOOKUP(Job[[#This Row],[UPDM field name]],#REF!,3,FALSE)</f>
        <v>#REF!</v>
      </c>
      <c r="H16" t="e">
        <f>VLOOKUP(Job[[#This Row],[UPDM field name]],#REF!,4,FALSE)</f>
        <v>#REF!</v>
      </c>
    </row>
    <row r="17" spans="1:8" x14ac:dyDescent="0.3">
      <c r="A17" t="s">
        <v>45</v>
      </c>
      <c r="B17" t="s">
        <v>15</v>
      </c>
      <c r="C17" s="1" t="s">
        <v>39</v>
      </c>
      <c r="D17" t="s">
        <v>47</v>
      </c>
      <c r="E17" t="s">
        <v>41</v>
      </c>
      <c r="F17" t="e">
        <f>VLOOKUP(Job[[#This Row],[UPDM field name]],#REF!,2,FALSE)</f>
        <v>#REF!</v>
      </c>
      <c r="G17" t="e">
        <f>VLOOKUP(Job[[#This Row],[UPDM field name]],#REF!,3,FALSE)</f>
        <v>#REF!</v>
      </c>
      <c r="H17" t="e">
        <f>VLOOKUP(Job[[#This Row],[UPDM field name]],#REF!,4,FALSE)</f>
        <v>#REF!</v>
      </c>
    </row>
    <row r="18" spans="1:8" x14ac:dyDescent="0.3">
      <c r="A18" t="s">
        <v>48</v>
      </c>
      <c r="B18" t="s">
        <v>12</v>
      </c>
      <c r="C18" s="1"/>
      <c r="F18" t="e">
        <f>VLOOKUP(Job[[#This Row],[UPDM field name]],#REF!,2,FALSE)</f>
        <v>#REF!</v>
      </c>
      <c r="G18" t="e">
        <f>VLOOKUP(Job[[#This Row],[UPDM field name]],#REF!,3,FALSE)</f>
        <v>#REF!</v>
      </c>
      <c r="H18" t="e">
        <f>VLOOKUP(Job[[#This Row],[UPDM field name]],#REF!,4,FALSE)</f>
        <v>#REF!</v>
      </c>
    </row>
    <row r="19" spans="1:8" x14ac:dyDescent="0.3">
      <c r="A19" t="s">
        <v>48</v>
      </c>
      <c r="B19" t="s">
        <v>15</v>
      </c>
      <c r="C19" s="1" t="s">
        <v>39</v>
      </c>
      <c r="D19" t="s">
        <v>49</v>
      </c>
      <c r="E19" t="s">
        <v>41</v>
      </c>
      <c r="F19" t="e">
        <f>VLOOKUP(Job[[#This Row],[UPDM field name]],#REF!,2,FALSE)</f>
        <v>#REF!</v>
      </c>
      <c r="G19" t="e">
        <f>VLOOKUP(Job[[#This Row],[UPDM field name]],#REF!,3,FALSE)</f>
        <v>#REF!</v>
      </c>
      <c r="H19" t="e">
        <f>VLOOKUP(Job[[#This Row],[UPDM field name]],#REF!,4,FALSE)</f>
        <v>#REF!</v>
      </c>
    </row>
    <row r="20" spans="1:8" x14ac:dyDescent="0.3">
      <c r="A20" t="s">
        <v>50</v>
      </c>
      <c r="B20" t="s">
        <v>12</v>
      </c>
      <c r="C20" s="1" t="s">
        <v>36</v>
      </c>
      <c r="D20" t="s">
        <v>51</v>
      </c>
      <c r="E20" t="s">
        <v>38</v>
      </c>
      <c r="F20" t="e">
        <f>VLOOKUP(Job[[#This Row],[UPDM field name]],#REF!,2,FALSE)</f>
        <v>#REF!</v>
      </c>
      <c r="G20" t="e">
        <f>VLOOKUP(Job[[#This Row],[UPDM field name]],#REF!,3,FALSE)</f>
        <v>#REF!</v>
      </c>
      <c r="H20" t="e">
        <f>VLOOKUP(Job[[#This Row],[UPDM field name]],#REF!,4,FALSE)</f>
        <v>#REF!</v>
      </c>
    </row>
    <row r="21" spans="1:8" x14ac:dyDescent="0.3">
      <c r="A21" t="s">
        <v>50</v>
      </c>
      <c r="B21" t="s">
        <v>15</v>
      </c>
      <c r="C21" s="1" t="s">
        <v>39</v>
      </c>
      <c r="D21" t="s">
        <v>52</v>
      </c>
      <c r="E21" t="s">
        <v>41</v>
      </c>
      <c r="F21" t="e">
        <f>VLOOKUP(Job[[#This Row],[UPDM field name]],#REF!,2,FALSE)</f>
        <v>#REF!</v>
      </c>
      <c r="G21" t="e">
        <f>VLOOKUP(Job[[#This Row],[UPDM field name]],#REF!,3,FALSE)</f>
        <v>#REF!</v>
      </c>
      <c r="H21" t="e">
        <f>VLOOKUP(Job[[#This Row],[UPDM field name]],#REF!,4,FALSE)</f>
        <v>#REF!</v>
      </c>
    </row>
    <row r="22" spans="1:8" x14ac:dyDescent="0.3">
      <c r="A22" t="s">
        <v>53</v>
      </c>
      <c r="B22" t="s">
        <v>12</v>
      </c>
      <c r="C22" s="1" t="s">
        <v>36</v>
      </c>
      <c r="D22" t="s">
        <v>54</v>
      </c>
      <c r="E22" t="s">
        <v>38</v>
      </c>
      <c r="F22" t="e">
        <f>VLOOKUP(Job[[#This Row],[UPDM field name]],#REF!,2,FALSE)</f>
        <v>#REF!</v>
      </c>
      <c r="G22" t="e">
        <f>VLOOKUP(Job[[#This Row],[UPDM field name]],#REF!,3,FALSE)</f>
        <v>#REF!</v>
      </c>
      <c r="H22" t="e">
        <f>VLOOKUP(Job[[#This Row],[UPDM field name]],#REF!,4,FALSE)</f>
        <v>#REF!</v>
      </c>
    </row>
    <row r="23" spans="1:8" x14ac:dyDescent="0.3">
      <c r="A23" t="s">
        <v>53</v>
      </c>
      <c r="B23" t="s">
        <v>15</v>
      </c>
      <c r="C23" s="1" t="s">
        <v>39</v>
      </c>
      <c r="D23" t="s">
        <v>55</v>
      </c>
      <c r="E23" t="s">
        <v>41</v>
      </c>
      <c r="F23" t="e">
        <f>VLOOKUP(Job[[#This Row],[UPDM field name]],#REF!,2,FALSE)</f>
        <v>#REF!</v>
      </c>
      <c r="G23" t="e">
        <f>VLOOKUP(Job[[#This Row],[UPDM field name]],#REF!,3,FALSE)</f>
        <v>#REF!</v>
      </c>
      <c r="H23" t="e">
        <f>VLOOKUP(Job[[#This Row],[UPDM field name]],#REF!,4,FALSE)</f>
        <v>#REF!</v>
      </c>
    </row>
    <row r="24" spans="1:8" x14ac:dyDescent="0.3">
      <c r="A24" t="s">
        <v>56</v>
      </c>
      <c r="B24" t="s">
        <v>12</v>
      </c>
      <c r="C24" s="1"/>
      <c r="F24" t="e">
        <f>VLOOKUP(Job[[#This Row],[UPDM field name]],#REF!,2,FALSE)</f>
        <v>#REF!</v>
      </c>
      <c r="G24" t="e">
        <f>VLOOKUP(Job[[#This Row],[UPDM field name]],#REF!,3,FALSE)</f>
        <v>#REF!</v>
      </c>
      <c r="H24" t="e">
        <f>VLOOKUP(Job[[#This Row],[UPDM field name]],#REF!,4,FALSE)</f>
        <v>#REF!</v>
      </c>
    </row>
    <row r="25" spans="1:8" x14ac:dyDescent="0.3">
      <c r="A25" t="s">
        <v>56</v>
      </c>
      <c r="B25" t="s">
        <v>15</v>
      </c>
      <c r="C25" t="s">
        <v>39</v>
      </c>
      <c r="D25" s="1" t="s">
        <v>57</v>
      </c>
      <c r="E25" t="s">
        <v>58</v>
      </c>
      <c r="F25" t="e">
        <f>VLOOKUP(Job[[#This Row],[UPDM field name]],#REF!,2,FALSE)</f>
        <v>#REF!</v>
      </c>
      <c r="G25" t="e">
        <f>VLOOKUP(Job[[#This Row],[UPDM field name]],#REF!,3,FALSE)</f>
        <v>#REF!</v>
      </c>
      <c r="H25" t="e">
        <f>VLOOKUP(Job[[#This Row],[UPDM field name]],#REF!,4,FALSE)</f>
        <v>#REF!</v>
      </c>
    </row>
    <row r="26" spans="1:8" x14ac:dyDescent="0.3">
      <c r="A26" t="s">
        <v>59</v>
      </c>
      <c r="B26" t="s">
        <v>12</v>
      </c>
      <c r="C26" s="1" t="s">
        <v>36</v>
      </c>
      <c r="D26" t="s">
        <v>60</v>
      </c>
      <c r="E26" t="s">
        <v>38</v>
      </c>
      <c r="F26" t="e">
        <f>VLOOKUP(Job[[#This Row],[UPDM field name]],#REF!,2,FALSE)</f>
        <v>#REF!</v>
      </c>
      <c r="G26" t="e">
        <f>VLOOKUP(Job[[#This Row],[UPDM field name]],#REF!,3,FALSE)</f>
        <v>#REF!</v>
      </c>
      <c r="H26" t="e">
        <f>VLOOKUP(Job[[#This Row],[UPDM field name]],#REF!,4,FALSE)</f>
        <v>#REF!</v>
      </c>
    </row>
    <row r="27" spans="1:8" x14ac:dyDescent="0.3">
      <c r="A27" t="s">
        <v>59</v>
      </c>
      <c r="B27" t="s">
        <v>15</v>
      </c>
      <c r="C27" s="1" t="s">
        <v>39</v>
      </c>
      <c r="D27" t="s">
        <v>61</v>
      </c>
      <c r="E27" t="s">
        <v>58</v>
      </c>
      <c r="F27" t="e">
        <f>VLOOKUP(Job[[#This Row],[UPDM field name]],#REF!,2,FALSE)</f>
        <v>#REF!</v>
      </c>
      <c r="G27" t="e">
        <f>VLOOKUP(Job[[#This Row],[UPDM field name]],#REF!,3,FALSE)</f>
        <v>#REF!</v>
      </c>
      <c r="H27" t="e">
        <f>VLOOKUP(Job[[#This Row],[UPDM field name]],#REF!,4,FALSE)</f>
        <v>#REF!</v>
      </c>
    </row>
    <row r="28" spans="1:8" x14ac:dyDescent="0.3">
      <c r="A28" t="s">
        <v>62</v>
      </c>
      <c r="B28" t="s">
        <v>12</v>
      </c>
      <c r="C28" s="1" t="s">
        <v>36</v>
      </c>
      <c r="D28" t="s">
        <v>63</v>
      </c>
      <c r="E28" t="s">
        <v>38</v>
      </c>
      <c r="F28" t="e">
        <f>VLOOKUP(Job[[#This Row],[UPDM field name]],#REF!,2,FALSE)</f>
        <v>#REF!</v>
      </c>
      <c r="G28" t="e">
        <f>VLOOKUP(Job[[#This Row],[UPDM field name]],#REF!,3,FALSE)</f>
        <v>#REF!</v>
      </c>
      <c r="H28" t="e">
        <f>VLOOKUP(Job[[#This Row],[UPDM field name]],#REF!,4,FALSE)</f>
        <v>#REF!</v>
      </c>
    </row>
    <row r="29" spans="1:8" x14ac:dyDescent="0.3">
      <c r="A29" t="s">
        <v>62</v>
      </c>
      <c r="B29" t="s">
        <v>15</v>
      </c>
      <c r="C29" s="1" t="s">
        <v>39</v>
      </c>
      <c r="D29" t="s">
        <v>64</v>
      </c>
      <c r="E29" t="s">
        <v>41</v>
      </c>
      <c r="F29" t="e">
        <f>VLOOKUP(Job[[#This Row],[UPDM field name]],#REF!,2,FALSE)</f>
        <v>#REF!</v>
      </c>
      <c r="G29" t="e">
        <f>VLOOKUP(Job[[#This Row],[UPDM field name]],#REF!,3,FALSE)</f>
        <v>#REF!</v>
      </c>
      <c r="H29" t="e">
        <f>VLOOKUP(Job[[#This Row],[UPDM field name]],#REF!,4,FALSE)</f>
        <v>#REF!</v>
      </c>
    </row>
    <row r="30" spans="1:8" x14ac:dyDescent="0.3">
      <c r="A30" t="s">
        <v>65</v>
      </c>
      <c r="B30" t="s">
        <v>12</v>
      </c>
      <c r="C30" s="1" t="s">
        <v>36</v>
      </c>
      <c r="D30" t="s">
        <v>66</v>
      </c>
      <c r="E30" t="s">
        <v>38</v>
      </c>
      <c r="F30" t="e">
        <f>VLOOKUP(Job[[#This Row],[UPDM field name]],#REF!,2,FALSE)</f>
        <v>#REF!</v>
      </c>
      <c r="G30" t="e">
        <f>VLOOKUP(Job[[#This Row],[UPDM field name]],#REF!,3,FALSE)</f>
        <v>#REF!</v>
      </c>
      <c r="H30" t="e">
        <f>VLOOKUP(Job[[#This Row],[UPDM field name]],#REF!,4,FALSE)</f>
        <v>#REF!</v>
      </c>
    </row>
    <row r="31" spans="1:8" x14ac:dyDescent="0.3">
      <c r="A31" t="s">
        <v>65</v>
      </c>
      <c r="B31" t="s">
        <v>15</v>
      </c>
      <c r="C31" s="1" t="s">
        <v>39</v>
      </c>
      <c r="D31" t="s">
        <v>67</v>
      </c>
      <c r="E31" t="s">
        <v>41</v>
      </c>
      <c r="F31" t="e">
        <f>VLOOKUP(Job[[#This Row],[UPDM field name]],#REF!,2,FALSE)</f>
        <v>#REF!</v>
      </c>
      <c r="G31" t="e">
        <f>VLOOKUP(Job[[#This Row],[UPDM field name]],#REF!,3,FALSE)</f>
        <v>#REF!</v>
      </c>
      <c r="H31" t="e">
        <f>VLOOKUP(Job[[#This Row],[UPDM field name]],#REF!,4,FALSE)</f>
        <v>#REF!</v>
      </c>
    </row>
    <row r="32" spans="1:8" x14ac:dyDescent="0.3">
      <c r="A32" t="s">
        <v>68</v>
      </c>
      <c r="B32" t="s">
        <v>12</v>
      </c>
      <c r="C32" t="s">
        <v>69</v>
      </c>
      <c r="D32" t="s">
        <v>30</v>
      </c>
      <c r="F32" t="e">
        <f>VLOOKUP(Job[[#This Row],[UPDM field name]],#REF!,2,FALSE)</f>
        <v>#REF!</v>
      </c>
      <c r="G32" t="e">
        <f>VLOOKUP(Job[[#This Row],[UPDM field name]],#REF!,3,FALSE)</f>
        <v>#REF!</v>
      </c>
      <c r="H32" t="e">
        <f>VLOOKUP(Job[[#This Row],[UPDM field name]],#REF!,4,FALSE)</f>
        <v>#REF!</v>
      </c>
    </row>
    <row r="33" spans="1:8" x14ac:dyDescent="0.3">
      <c r="A33" t="s">
        <v>68</v>
      </c>
      <c r="B33" t="s">
        <v>15</v>
      </c>
      <c r="C33" t="s">
        <v>16</v>
      </c>
      <c r="D33" t="s">
        <v>70</v>
      </c>
      <c r="F33" t="e">
        <f>VLOOKUP(Job[[#This Row],[UPDM field name]],#REF!,2,FALSE)</f>
        <v>#REF!</v>
      </c>
      <c r="G33" t="e">
        <f>VLOOKUP(Job[[#This Row],[UPDM field name]],#REF!,3,FALSE)</f>
        <v>#REF!</v>
      </c>
      <c r="H33" t="e">
        <f>VLOOKUP(Job[[#This Row],[UPDM field name]],#REF!,4,FALSE)</f>
        <v>#REF!</v>
      </c>
    </row>
    <row r="34" spans="1:8" x14ac:dyDescent="0.3">
      <c r="A34" t="s">
        <v>71</v>
      </c>
      <c r="B34" t="s">
        <v>12</v>
      </c>
      <c r="C34" s="1" t="s">
        <v>72</v>
      </c>
      <c r="D34" t="s">
        <v>37</v>
      </c>
      <c r="E34" t="s">
        <v>73</v>
      </c>
      <c r="F34" t="e">
        <f>VLOOKUP(Job[[#This Row],[UPDM field name]],#REF!,2,FALSE)</f>
        <v>#REF!</v>
      </c>
      <c r="G34" t="e">
        <f>VLOOKUP(Job[[#This Row],[UPDM field name]],#REF!,3,FALSE)</f>
        <v>#REF!</v>
      </c>
      <c r="H34" t="e">
        <f>VLOOKUP(Job[[#This Row],[UPDM field name]],#REF!,4,FALSE)</f>
        <v>#REF!</v>
      </c>
    </row>
    <row r="35" spans="1:8" x14ac:dyDescent="0.3">
      <c r="A35" t="s">
        <v>71</v>
      </c>
      <c r="B35" t="s">
        <v>15</v>
      </c>
      <c r="C35" s="1" t="s">
        <v>39</v>
      </c>
      <c r="D35" t="s">
        <v>40</v>
      </c>
      <c r="E35" t="s">
        <v>74</v>
      </c>
      <c r="F35" t="e">
        <f>VLOOKUP(Job[[#This Row],[UPDM field name]],#REF!,2,FALSE)</f>
        <v>#REF!</v>
      </c>
      <c r="G35" t="e">
        <f>VLOOKUP(Job[[#This Row],[UPDM field name]],#REF!,3,FALSE)</f>
        <v>#REF!</v>
      </c>
      <c r="H35" t="e">
        <f>VLOOKUP(Job[[#This Row],[UPDM field name]],#REF!,4,FALSE)</f>
        <v>#REF!</v>
      </c>
    </row>
    <row r="36" spans="1:8" x14ac:dyDescent="0.3">
      <c r="A36" t="s">
        <v>75</v>
      </c>
      <c r="B36" t="s">
        <v>12</v>
      </c>
      <c r="C36" s="1" t="s">
        <v>72</v>
      </c>
      <c r="D36" t="s">
        <v>43</v>
      </c>
      <c r="E36" t="s">
        <v>73</v>
      </c>
      <c r="F36" t="e">
        <f>VLOOKUP(Job[[#This Row],[UPDM field name]],#REF!,2,FALSE)</f>
        <v>#REF!</v>
      </c>
      <c r="G36" t="e">
        <f>VLOOKUP(Job[[#This Row],[UPDM field name]],#REF!,3,FALSE)</f>
        <v>#REF!</v>
      </c>
      <c r="H36" t="e">
        <f>VLOOKUP(Job[[#This Row],[UPDM field name]],#REF!,4,FALSE)</f>
        <v>#REF!</v>
      </c>
    </row>
    <row r="37" spans="1:8" x14ac:dyDescent="0.3">
      <c r="A37" t="s">
        <v>75</v>
      </c>
      <c r="B37" t="s">
        <v>15</v>
      </c>
      <c r="C37" s="1" t="s">
        <v>39</v>
      </c>
      <c r="D37" t="s">
        <v>44</v>
      </c>
      <c r="E37" t="s">
        <v>74</v>
      </c>
      <c r="F37" t="e">
        <f>VLOOKUP(Job[[#This Row],[UPDM field name]],#REF!,2,FALSE)</f>
        <v>#REF!</v>
      </c>
      <c r="G37" t="e">
        <f>VLOOKUP(Job[[#This Row],[UPDM field name]],#REF!,3,FALSE)</f>
        <v>#REF!</v>
      </c>
      <c r="H37" t="e">
        <f>VLOOKUP(Job[[#This Row],[UPDM field name]],#REF!,4,FALSE)</f>
        <v>#REF!</v>
      </c>
    </row>
    <row r="38" spans="1:8" x14ac:dyDescent="0.3">
      <c r="A38" t="s">
        <v>76</v>
      </c>
      <c r="B38" t="s">
        <v>12</v>
      </c>
      <c r="C38" s="1" t="s">
        <v>72</v>
      </c>
      <c r="D38" t="s">
        <v>46</v>
      </c>
      <c r="E38" t="s">
        <v>73</v>
      </c>
      <c r="F38" t="e">
        <f>VLOOKUP(Job[[#This Row],[UPDM field name]],#REF!,2,FALSE)</f>
        <v>#REF!</v>
      </c>
      <c r="G38" t="e">
        <f>VLOOKUP(Job[[#This Row],[UPDM field name]],#REF!,3,FALSE)</f>
        <v>#REF!</v>
      </c>
      <c r="H38" t="e">
        <f>VLOOKUP(Job[[#This Row],[UPDM field name]],#REF!,4,FALSE)</f>
        <v>#REF!</v>
      </c>
    </row>
    <row r="39" spans="1:8" x14ac:dyDescent="0.3">
      <c r="A39" t="s">
        <v>76</v>
      </c>
      <c r="B39" t="s">
        <v>15</v>
      </c>
      <c r="C39" s="1" t="s">
        <v>39</v>
      </c>
      <c r="D39" t="s">
        <v>47</v>
      </c>
      <c r="E39" t="s">
        <v>74</v>
      </c>
      <c r="F39" t="e">
        <f>VLOOKUP(Job[[#This Row],[UPDM field name]],#REF!,2,FALSE)</f>
        <v>#REF!</v>
      </c>
      <c r="G39" t="e">
        <f>VLOOKUP(Job[[#This Row],[UPDM field name]],#REF!,3,FALSE)</f>
        <v>#REF!</v>
      </c>
      <c r="H39" t="e">
        <f>VLOOKUP(Job[[#This Row],[UPDM field name]],#REF!,4,FALSE)</f>
        <v>#REF!</v>
      </c>
    </row>
    <row r="40" spans="1:8" x14ac:dyDescent="0.3">
      <c r="A40" t="s">
        <v>77</v>
      </c>
      <c r="B40" t="s">
        <v>12</v>
      </c>
      <c r="C40" s="1"/>
      <c r="F40" t="e">
        <f>VLOOKUP(Job[[#This Row],[UPDM field name]],#REF!,2,FALSE)</f>
        <v>#REF!</v>
      </c>
      <c r="G40" t="e">
        <f>VLOOKUP(Job[[#This Row],[UPDM field name]],#REF!,3,FALSE)</f>
        <v>#REF!</v>
      </c>
      <c r="H40" t="e">
        <f>VLOOKUP(Job[[#This Row],[UPDM field name]],#REF!,4,FALSE)</f>
        <v>#REF!</v>
      </c>
    </row>
    <row r="41" spans="1:8" x14ac:dyDescent="0.3">
      <c r="A41" t="s">
        <v>77</v>
      </c>
      <c r="B41" t="s">
        <v>15</v>
      </c>
      <c r="C41" s="1" t="s">
        <v>39</v>
      </c>
      <c r="D41" t="s">
        <v>49</v>
      </c>
      <c r="E41" t="s">
        <v>74</v>
      </c>
      <c r="F41" t="e">
        <f>VLOOKUP(Job[[#This Row],[UPDM field name]],#REF!,2,FALSE)</f>
        <v>#REF!</v>
      </c>
      <c r="G41" t="e">
        <f>VLOOKUP(Job[[#This Row],[UPDM field name]],#REF!,3,FALSE)</f>
        <v>#REF!</v>
      </c>
      <c r="H41" t="e">
        <f>VLOOKUP(Job[[#This Row],[UPDM field name]],#REF!,4,FALSE)</f>
        <v>#REF!</v>
      </c>
    </row>
    <row r="42" spans="1:8" x14ac:dyDescent="0.3">
      <c r="A42" t="s">
        <v>78</v>
      </c>
      <c r="B42" t="s">
        <v>12</v>
      </c>
      <c r="C42" s="1" t="s">
        <v>72</v>
      </c>
      <c r="D42" t="s">
        <v>51</v>
      </c>
      <c r="E42" t="s">
        <v>73</v>
      </c>
      <c r="F42" t="e">
        <f>VLOOKUP(Job[[#This Row],[UPDM field name]],#REF!,2,FALSE)</f>
        <v>#REF!</v>
      </c>
      <c r="G42" t="e">
        <f>VLOOKUP(Job[[#This Row],[UPDM field name]],#REF!,3,FALSE)</f>
        <v>#REF!</v>
      </c>
      <c r="H42" t="e">
        <f>VLOOKUP(Job[[#This Row],[UPDM field name]],#REF!,4,FALSE)</f>
        <v>#REF!</v>
      </c>
    </row>
    <row r="43" spans="1:8" x14ac:dyDescent="0.3">
      <c r="A43" t="s">
        <v>78</v>
      </c>
      <c r="B43" t="s">
        <v>15</v>
      </c>
      <c r="C43" s="1" t="s">
        <v>39</v>
      </c>
      <c r="D43" t="s">
        <v>52</v>
      </c>
      <c r="E43" t="s">
        <v>74</v>
      </c>
      <c r="F43" t="e">
        <f>VLOOKUP(Job[[#This Row],[UPDM field name]],#REF!,2,FALSE)</f>
        <v>#REF!</v>
      </c>
      <c r="G43" t="e">
        <f>VLOOKUP(Job[[#This Row],[UPDM field name]],#REF!,3,FALSE)</f>
        <v>#REF!</v>
      </c>
      <c r="H43" t="e">
        <f>VLOOKUP(Job[[#This Row],[UPDM field name]],#REF!,4,FALSE)</f>
        <v>#REF!</v>
      </c>
    </row>
    <row r="44" spans="1:8" x14ac:dyDescent="0.3">
      <c r="A44" t="s">
        <v>79</v>
      </c>
      <c r="B44" t="s">
        <v>12</v>
      </c>
      <c r="C44" s="1" t="s">
        <v>72</v>
      </c>
      <c r="D44" t="s">
        <v>80</v>
      </c>
      <c r="E44" t="s">
        <v>73</v>
      </c>
      <c r="F44" t="e">
        <f>VLOOKUP(Job[[#This Row],[UPDM field name]],#REF!,2,FALSE)</f>
        <v>#REF!</v>
      </c>
      <c r="G44" t="e">
        <f>VLOOKUP(Job[[#This Row],[UPDM field name]],#REF!,3,FALSE)</f>
        <v>#REF!</v>
      </c>
      <c r="H44" t="e">
        <f>VLOOKUP(Job[[#This Row],[UPDM field name]],#REF!,4,FALSE)</f>
        <v>#REF!</v>
      </c>
    </row>
    <row r="45" spans="1:8" x14ac:dyDescent="0.3">
      <c r="A45" t="s">
        <v>79</v>
      </c>
      <c r="B45" t="s">
        <v>15</v>
      </c>
      <c r="C45" s="1"/>
      <c r="F45" t="e">
        <f>VLOOKUP(Job[[#This Row],[UPDM field name]],#REF!,2,FALSE)</f>
        <v>#REF!</v>
      </c>
      <c r="G45" t="e">
        <f>VLOOKUP(Job[[#This Row],[UPDM field name]],#REF!,3,FALSE)</f>
        <v>#REF!</v>
      </c>
      <c r="H45" t="e">
        <f>VLOOKUP(Job[[#This Row],[UPDM field name]],#REF!,4,FALSE)</f>
        <v>#REF!</v>
      </c>
    </row>
    <row r="46" spans="1:8" x14ac:dyDescent="0.3">
      <c r="A46" t="s">
        <v>81</v>
      </c>
      <c r="B46" t="s">
        <v>12</v>
      </c>
      <c r="C46" s="1" t="s">
        <v>72</v>
      </c>
      <c r="D46" t="s">
        <v>82</v>
      </c>
      <c r="E46" t="s">
        <v>73</v>
      </c>
      <c r="F46" t="e">
        <f>VLOOKUP(Job[[#This Row],[UPDM field name]],#REF!,2,FALSE)</f>
        <v>#REF!</v>
      </c>
      <c r="G46" t="e">
        <f>VLOOKUP(Job[[#This Row],[UPDM field name]],#REF!,3,FALSE)</f>
        <v>#REF!</v>
      </c>
      <c r="H46" t="e">
        <f>VLOOKUP(Job[[#This Row],[UPDM field name]],#REF!,4,FALSE)</f>
        <v>#REF!</v>
      </c>
    </row>
    <row r="47" spans="1:8" x14ac:dyDescent="0.3">
      <c r="A47" t="s">
        <v>81</v>
      </c>
      <c r="B47" t="s">
        <v>15</v>
      </c>
      <c r="C47" s="1"/>
      <c r="F47" t="e">
        <f>VLOOKUP(Job[[#This Row],[UPDM field name]],#REF!,2,FALSE)</f>
        <v>#REF!</v>
      </c>
      <c r="G47" t="e">
        <f>VLOOKUP(Job[[#This Row],[UPDM field name]],#REF!,3,FALSE)</f>
        <v>#REF!</v>
      </c>
      <c r="H47" t="e">
        <f>VLOOKUP(Job[[#This Row],[UPDM field name]],#REF!,4,FALSE)</f>
        <v>#REF!</v>
      </c>
    </row>
    <row r="48" spans="1:8" x14ac:dyDescent="0.3">
      <c r="A48" t="s">
        <v>83</v>
      </c>
      <c r="B48" t="s">
        <v>12</v>
      </c>
      <c r="C48" s="1" t="s">
        <v>72</v>
      </c>
      <c r="D48" t="s">
        <v>54</v>
      </c>
      <c r="E48" t="s">
        <v>73</v>
      </c>
      <c r="F48" t="e">
        <f>VLOOKUP(Job[[#This Row],[UPDM field name]],#REF!,2,FALSE)</f>
        <v>#REF!</v>
      </c>
      <c r="G48" t="e">
        <f>VLOOKUP(Job[[#This Row],[UPDM field name]],#REF!,3,FALSE)</f>
        <v>#REF!</v>
      </c>
      <c r="H48" t="e">
        <f>VLOOKUP(Job[[#This Row],[UPDM field name]],#REF!,4,FALSE)</f>
        <v>#REF!</v>
      </c>
    </row>
    <row r="49" spans="1:9" x14ac:dyDescent="0.3">
      <c r="A49" t="s">
        <v>83</v>
      </c>
      <c r="B49" t="s">
        <v>15</v>
      </c>
      <c r="C49" s="1" t="s">
        <v>39</v>
      </c>
      <c r="D49" t="s">
        <v>55</v>
      </c>
      <c r="E49" t="s">
        <v>74</v>
      </c>
      <c r="F49" t="e">
        <f>VLOOKUP(Job[[#This Row],[UPDM field name]],#REF!,2,FALSE)</f>
        <v>#REF!</v>
      </c>
      <c r="G49" t="e">
        <f>VLOOKUP(Job[[#This Row],[UPDM field name]],#REF!,3,FALSE)</f>
        <v>#REF!</v>
      </c>
      <c r="H49" t="e">
        <f>VLOOKUP(Job[[#This Row],[UPDM field name]],#REF!,4,FALSE)</f>
        <v>#REF!</v>
      </c>
    </row>
    <row r="50" spans="1:9" x14ac:dyDescent="0.3">
      <c r="A50" t="s">
        <v>84</v>
      </c>
      <c r="B50" t="s">
        <v>12</v>
      </c>
      <c r="C50" s="1" t="s">
        <v>72</v>
      </c>
      <c r="D50" t="s">
        <v>85</v>
      </c>
      <c r="E50" t="s">
        <v>73</v>
      </c>
      <c r="F50" t="e">
        <f>VLOOKUP(Job[[#This Row],[UPDM field name]],#REF!,2,FALSE)</f>
        <v>#REF!</v>
      </c>
      <c r="G50" t="e">
        <f>VLOOKUP(Job[[#This Row],[UPDM field name]],#REF!,3,FALSE)</f>
        <v>#REF!</v>
      </c>
      <c r="H50" t="e">
        <f>VLOOKUP(Job[[#This Row],[UPDM field name]],#REF!,4,FALSE)</f>
        <v>#REF!</v>
      </c>
    </row>
    <row r="51" spans="1:9" x14ac:dyDescent="0.3">
      <c r="A51" t="s">
        <v>84</v>
      </c>
      <c r="B51" t="s">
        <v>15</v>
      </c>
      <c r="C51" t="s">
        <v>39</v>
      </c>
      <c r="D51" s="1" t="s">
        <v>57</v>
      </c>
      <c r="E51" t="s">
        <v>86</v>
      </c>
      <c r="F51" t="e">
        <f>VLOOKUP(Job[[#This Row],[UPDM field name]],#REF!,2,FALSE)</f>
        <v>#REF!</v>
      </c>
      <c r="G51" t="e">
        <f>VLOOKUP(Job[[#This Row],[UPDM field name]],#REF!,3,FALSE)</f>
        <v>#REF!</v>
      </c>
      <c r="H51" t="e">
        <f>VLOOKUP(Job[[#This Row],[UPDM field name]],#REF!,4,FALSE)</f>
        <v>#REF!</v>
      </c>
    </row>
    <row r="52" spans="1:9" x14ac:dyDescent="0.3">
      <c r="A52" t="s">
        <v>87</v>
      </c>
      <c r="B52" t="s">
        <v>12</v>
      </c>
      <c r="C52" s="1" t="s">
        <v>72</v>
      </c>
      <c r="D52" t="s">
        <v>88</v>
      </c>
      <c r="E52" t="s">
        <v>73</v>
      </c>
      <c r="F52" t="e">
        <f>VLOOKUP(Job[[#This Row],[UPDM field name]],#REF!,2,FALSE)</f>
        <v>#REF!</v>
      </c>
      <c r="G52" t="e">
        <f>VLOOKUP(Job[[#This Row],[UPDM field name]],#REF!,3,FALSE)</f>
        <v>#REF!</v>
      </c>
      <c r="H52" t="e">
        <f>VLOOKUP(Job[[#This Row],[UPDM field name]],#REF!,4,FALSE)</f>
        <v>#REF!</v>
      </c>
    </row>
    <row r="53" spans="1:9" x14ac:dyDescent="0.3">
      <c r="A53" t="s">
        <v>87</v>
      </c>
      <c r="B53" t="s">
        <v>15</v>
      </c>
      <c r="C53" s="1" t="s">
        <v>39</v>
      </c>
      <c r="D53" t="s">
        <v>61</v>
      </c>
      <c r="E53" t="s">
        <v>86</v>
      </c>
      <c r="F53" t="e">
        <f>VLOOKUP(Job[[#This Row],[UPDM field name]],#REF!,2,FALSE)</f>
        <v>#REF!</v>
      </c>
      <c r="G53" t="e">
        <f>VLOOKUP(Job[[#This Row],[UPDM field name]],#REF!,3,FALSE)</f>
        <v>#REF!</v>
      </c>
      <c r="H53" t="e">
        <f>VLOOKUP(Job[[#This Row],[UPDM field name]],#REF!,4,FALSE)</f>
        <v>#REF!</v>
      </c>
    </row>
    <row r="54" spans="1:9" x14ac:dyDescent="0.3">
      <c r="A54" t="s">
        <v>89</v>
      </c>
      <c r="B54" t="s">
        <v>12</v>
      </c>
      <c r="C54" s="1" t="s">
        <v>72</v>
      </c>
      <c r="D54" t="s">
        <v>90</v>
      </c>
      <c r="E54" t="s">
        <v>73</v>
      </c>
      <c r="F54" t="e">
        <f>VLOOKUP(Job[[#This Row],[UPDM field name]],#REF!,2,FALSE)</f>
        <v>#REF!</v>
      </c>
      <c r="G54" t="e">
        <f>VLOOKUP(Job[[#This Row],[UPDM field name]],#REF!,3,FALSE)</f>
        <v>#REF!</v>
      </c>
      <c r="H54" t="e">
        <f>VLOOKUP(Job[[#This Row],[UPDM field name]],#REF!,4,FALSE)</f>
        <v>#REF!</v>
      </c>
    </row>
    <row r="55" spans="1:9" x14ac:dyDescent="0.3">
      <c r="A55" t="s">
        <v>89</v>
      </c>
      <c r="B55" t="s">
        <v>15</v>
      </c>
      <c r="C55" s="1"/>
      <c r="F55" t="e">
        <f>VLOOKUP(Job[[#This Row],[UPDM field name]],#REF!,2,FALSE)</f>
        <v>#REF!</v>
      </c>
      <c r="G55" t="e">
        <f>VLOOKUP(Job[[#This Row],[UPDM field name]],#REF!,3,FALSE)</f>
        <v>#REF!</v>
      </c>
      <c r="H55" t="e">
        <f>VLOOKUP(Job[[#This Row],[UPDM field name]],#REF!,4,FALSE)</f>
        <v>#REF!</v>
      </c>
    </row>
    <row r="56" spans="1:9" x14ac:dyDescent="0.3">
      <c r="A56" t="s">
        <v>91</v>
      </c>
      <c r="B56" t="s">
        <v>12</v>
      </c>
      <c r="C56" s="1" t="s">
        <v>72</v>
      </c>
      <c r="D56" t="s">
        <v>63</v>
      </c>
      <c r="E56" t="s">
        <v>73</v>
      </c>
      <c r="F56" t="e">
        <f>VLOOKUP(Job[[#This Row],[UPDM field name]],#REF!,2,FALSE)</f>
        <v>#REF!</v>
      </c>
      <c r="G56" t="e">
        <f>VLOOKUP(Job[[#This Row],[UPDM field name]],#REF!,3,FALSE)</f>
        <v>#REF!</v>
      </c>
      <c r="H56" t="e">
        <f>VLOOKUP(Job[[#This Row],[UPDM field name]],#REF!,4,FALSE)</f>
        <v>#REF!</v>
      </c>
    </row>
    <row r="57" spans="1:9" x14ac:dyDescent="0.3">
      <c r="A57" t="s">
        <v>91</v>
      </c>
      <c r="B57" t="s">
        <v>15</v>
      </c>
      <c r="C57" s="1" t="s">
        <v>39</v>
      </c>
      <c r="D57" t="s">
        <v>64</v>
      </c>
      <c r="E57" t="s">
        <v>74</v>
      </c>
      <c r="F57" t="e">
        <f>VLOOKUP(Job[[#This Row],[UPDM field name]],#REF!,2,FALSE)</f>
        <v>#REF!</v>
      </c>
      <c r="G57" t="e">
        <f>VLOOKUP(Job[[#This Row],[UPDM field name]],#REF!,3,FALSE)</f>
        <v>#REF!</v>
      </c>
      <c r="H57" t="e">
        <f>VLOOKUP(Job[[#This Row],[UPDM field name]],#REF!,4,FALSE)</f>
        <v>#REF!</v>
      </c>
    </row>
    <row r="58" spans="1:9" x14ac:dyDescent="0.3">
      <c r="A58" t="s">
        <v>92</v>
      </c>
      <c r="B58" t="s">
        <v>12</v>
      </c>
      <c r="C58" s="1" t="s">
        <v>72</v>
      </c>
      <c r="D58" t="s">
        <v>66</v>
      </c>
      <c r="E58" t="s">
        <v>73</v>
      </c>
      <c r="F58" t="e">
        <f>VLOOKUP(Job[[#This Row],[UPDM field name]],#REF!,2,FALSE)</f>
        <v>#REF!</v>
      </c>
      <c r="G58" t="e">
        <f>VLOOKUP(Job[[#This Row],[UPDM field name]],#REF!,3,FALSE)</f>
        <v>#REF!</v>
      </c>
      <c r="H58" t="e">
        <f>VLOOKUP(Job[[#This Row],[UPDM field name]],#REF!,4,FALSE)</f>
        <v>#REF!</v>
      </c>
    </row>
    <row r="59" spans="1:9" x14ac:dyDescent="0.3">
      <c r="A59" t="s">
        <v>92</v>
      </c>
      <c r="B59" t="s">
        <v>15</v>
      </c>
      <c r="C59" s="1" t="s">
        <v>39</v>
      </c>
      <c r="D59" t="s">
        <v>67</v>
      </c>
      <c r="E59" t="s">
        <v>74</v>
      </c>
      <c r="F59" t="e">
        <f>VLOOKUP(Job[[#This Row],[UPDM field name]],#REF!,2,FALSE)</f>
        <v>#REF!</v>
      </c>
      <c r="G59" t="e">
        <f>VLOOKUP(Job[[#This Row],[UPDM field name]],#REF!,3,FALSE)</f>
        <v>#REF!</v>
      </c>
      <c r="H59" t="e">
        <f>VLOOKUP(Job[[#This Row],[UPDM field name]],#REF!,4,FALSE)</f>
        <v>#REF!</v>
      </c>
    </row>
    <row r="60" spans="1:9" x14ac:dyDescent="0.3">
      <c r="A60" t="s">
        <v>93</v>
      </c>
      <c r="B60" t="s">
        <v>12</v>
      </c>
      <c r="C60" s="1" t="s">
        <v>94</v>
      </c>
      <c r="D60" t="s">
        <v>95</v>
      </c>
      <c r="F60" t="e">
        <f>VLOOKUP(Job[[#This Row],[UPDM field name]],#REF!,2,FALSE)</f>
        <v>#REF!</v>
      </c>
      <c r="G60" t="e">
        <f>VLOOKUP(Job[[#This Row],[UPDM field name]],#REF!,3,FALSE)</f>
        <v>#REF!</v>
      </c>
      <c r="H60" t="e">
        <f>VLOOKUP(Job[[#This Row],[UPDM field name]],#REF!,4,FALSE)</f>
        <v>#REF!</v>
      </c>
    </row>
    <row r="61" spans="1:9" x14ac:dyDescent="0.3">
      <c r="A61" t="s">
        <v>93</v>
      </c>
      <c r="B61" t="s">
        <v>15</v>
      </c>
      <c r="C61" t="s">
        <v>16</v>
      </c>
      <c r="D61" t="s">
        <v>96</v>
      </c>
      <c r="F61" t="e">
        <f>VLOOKUP(Job[[#This Row],[UPDM field name]],#REF!,2,FALSE)</f>
        <v>#REF!</v>
      </c>
      <c r="G61" t="e">
        <f>VLOOKUP(Job[[#This Row],[UPDM field name]],#REF!,3,FALSE)</f>
        <v>#REF!</v>
      </c>
      <c r="H61" t="e">
        <f>VLOOKUP(Job[[#This Row],[UPDM field name]],#REF!,4,FALSE)</f>
        <v>#REF!</v>
      </c>
      <c r="I61" t="s">
        <v>97</v>
      </c>
    </row>
    <row r="62" spans="1:9" x14ac:dyDescent="0.3">
      <c r="A62" t="s">
        <v>98</v>
      </c>
      <c r="B62" t="s">
        <v>12</v>
      </c>
      <c r="C62" s="1" t="s">
        <v>99</v>
      </c>
      <c r="D62" t="s">
        <v>100</v>
      </c>
      <c r="E62" t="s">
        <v>101</v>
      </c>
      <c r="F62" t="e">
        <f>VLOOKUP(Job[[#This Row],[UPDM field name]],#REF!,2,FALSE)</f>
        <v>#REF!</v>
      </c>
      <c r="G62" t="e">
        <f>VLOOKUP(Job[[#This Row],[UPDM field name]],#REF!,3,FALSE)</f>
        <v>#REF!</v>
      </c>
      <c r="H62" t="e">
        <f>VLOOKUP(Job[[#This Row],[UPDM field name]],#REF!,4,FALSE)</f>
        <v>#REF!</v>
      </c>
    </row>
    <row r="63" spans="1:9" x14ac:dyDescent="0.3">
      <c r="A63" t="s">
        <v>98</v>
      </c>
      <c r="B63" t="s">
        <v>15</v>
      </c>
      <c r="C63" t="s">
        <v>102</v>
      </c>
      <c r="D63" t="s">
        <v>103</v>
      </c>
      <c r="E63" t="s">
        <v>104</v>
      </c>
      <c r="F63" t="e">
        <f>VLOOKUP(Job[[#This Row],[UPDM field name]],#REF!,2,FALSE)</f>
        <v>#REF!</v>
      </c>
      <c r="G63" t="e">
        <f>VLOOKUP(Job[[#This Row],[UPDM field name]],#REF!,3,FALSE)</f>
        <v>#REF!</v>
      </c>
      <c r="H63" t="e">
        <f>VLOOKUP(Job[[#This Row],[UPDM field name]],#REF!,4,FALSE)</f>
        <v>#REF!</v>
      </c>
    </row>
    <row r="64" spans="1:9" x14ac:dyDescent="0.3">
      <c r="A64" t="s">
        <v>105</v>
      </c>
      <c r="B64" t="s">
        <v>12</v>
      </c>
      <c r="C64" s="1" t="s">
        <v>106</v>
      </c>
      <c r="D64" t="s">
        <v>107</v>
      </c>
      <c r="E64" t="s">
        <v>108</v>
      </c>
      <c r="F64" t="e">
        <f>VLOOKUP(Job[[#This Row],[UPDM field name]],#REF!,2,FALSE)</f>
        <v>#REF!</v>
      </c>
      <c r="G64" t="e">
        <f>VLOOKUP(Job[[#This Row],[UPDM field name]],#REF!,3,FALSE)</f>
        <v>#REF!</v>
      </c>
      <c r="H64" t="e">
        <f>VLOOKUP(Job[[#This Row],[UPDM field name]],#REF!,4,FALSE)</f>
        <v>#REF!</v>
      </c>
    </row>
    <row r="65" spans="1:9" x14ac:dyDescent="0.3">
      <c r="A65" t="s">
        <v>105</v>
      </c>
      <c r="B65" t="s">
        <v>12</v>
      </c>
      <c r="C65" s="1" t="s">
        <v>109</v>
      </c>
      <c r="D65" t="s">
        <v>107</v>
      </c>
      <c r="E65" t="s">
        <v>110</v>
      </c>
      <c r="F65" t="e">
        <f>VLOOKUP(Job[[#This Row],[UPDM field name]],#REF!,2,FALSE)</f>
        <v>#REF!</v>
      </c>
      <c r="G65" t="e">
        <f>VLOOKUP(Job[[#This Row],[UPDM field name]],#REF!,3,FALSE)</f>
        <v>#REF!</v>
      </c>
      <c r="H65" t="e">
        <f>VLOOKUP(Job[[#This Row],[UPDM field name]],#REF!,4,FALSE)</f>
        <v>#REF!</v>
      </c>
    </row>
    <row r="66" spans="1:9" x14ac:dyDescent="0.3">
      <c r="A66" t="s">
        <v>105</v>
      </c>
      <c r="B66" t="s">
        <v>15</v>
      </c>
      <c r="C66" t="s">
        <v>16</v>
      </c>
      <c r="D66" t="s">
        <v>96</v>
      </c>
      <c r="F66" t="e">
        <f>VLOOKUP(Job[[#This Row],[UPDM field name]],#REF!,2,FALSE)</f>
        <v>#REF!</v>
      </c>
      <c r="G66" t="e">
        <f>VLOOKUP(Job[[#This Row],[UPDM field name]],#REF!,3,FALSE)</f>
        <v>#REF!</v>
      </c>
      <c r="H66" t="e">
        <f>VLOOKUP(Job[[#This Row],[UPDM field name]],#REF!,4,FALSE)</f>
        <v>#REF!</v>
      </c>
      <c r="I66" t="s">
        <v>111</v>
      </c>
    </row>
    <row r="67" spans="1:9" x14ac:dyDescent="0.3">
      <c r="A67" t="s">
        <v>112</v>
      </c>
      <c r="B67" t="s">
        <v>12</v>
      </c>
      <c r="C67" t="s">
        <v>69</v>
      </c>
      <c r="D67" t="s">
        <v>113</v>
      </c>
      <c r="F67" t="e">
        <f>VLOOKUP(Job[[#This Row],[UPDM field name]],#REF!,2,FALSE)</f>
        <v>#REF!</v>
      </c>
      <c r="G67" t="e">
        <f>VLOOKUP(Job[[#This Row],[UPDM field name]],#REF!,3,FALSE)</f>
        <v>#REF!</v>
      </c>
      <c r="H67" t="e">
        <f>VLOOKUP(Job[[#This Row],[UPDM field name]],#REF!,4,FALSE)</f>
        <v>#REF!</v>
      </c>
    </row>
    <row r="68" spans="1:9" x14ac:dyDescent="0.3">
      <c r="A68" t="s">
        <v>112</v>
      </c>
      <c r="B68" t="s">
        <v>15</v>
      </c>
      <c r="C68" t="s">
        <v>16</v>
      </c>
      <c r="D68" t="s">
        <v>114</v>
      </c>
      <c r="F68" t="e">
        <f>VLOOKUP(Job[[#This Row],[UPDM field name]],#REF!,2,FALSE)</f>
        <v>#REF!</v>
      </c>
      <c r="G68" t="e">
        <f>VLOOKUP(Job[[#This Row],[UPDM field name]],#REF!,3,FALSE)</f>
        <v>#REF!</v>
      </c>
      <c r="H68" t="e">
        <f>VLOOKUP(Job[[#This Row],[UPDM field name]],#REF!,4,FALSE)</f>
        <v>#REF!</v>
      </c>
    </row>
    <row r="69" spans="1:9" x14ac:dyDescent="0.3">
      <c r="A69" t="s">
        <v>115</v>
      </c>
      <c r="B69" t="s">
        <v>12</v>
      </c>
      <c r="C69" s="1" t="s">
        <v>109</v>
      </c>
      <c r="D69" t="s">
        <v>115</v>
      </c>
      <c r="E69" t="s">
        <v>110</v>
      </c>
      <c r="F69" t="e">
        <f>VLOOKUP(Job[[#This Row],[UPDM field name]],#REF!,2,FALSE)</f>
        <v>#REF!</v>
      </c>
      <c r="G69" t="e">
        <f>VLOOKUP(Job[[#This Row],[UPDM field name]],#REF!,3,FALSE)</f>
        <v>#REF!</v>
      </c>
      <c r="H69" t="e">
        <f>VLOOKUP(Job[[#This Row],[UPDM field name]],#REF!,4,FALSE)</f>
        <v>#REF!</v>
      </c>
    </row>
    <row r="70" spans="1:9" x14ac:dyDescent="0.3">
      <c r="A70" t="s">
        <v>115</v>
      </c>
      <c r="B70" t="s">
        <v>15</v>
      </c>
      <c r="C70" s="1" t="s">
        <v>116</v>
      </c>
      <c r="D70" t="s">
        <v>117</v>
      </c>
      <c r="E70" t="s">
        <v>118</v>
      </c>
      <c r="F70" t="e">
        <f>VLOOKUP(Job[[#This Row],[UPDM field name]],#REF!,2,FALSE)</f>
        <v>#REF!</v>
      </c>
      <c r="G70" t="e">
        <f>VLOOKUP(Job[[#This Row],[UPDM field name]],#REF!,3,FALSE)</f>
        <v>#REF!</v>
      </c>
      <c r="H70" t="e">
        <f>VLOOKUP(Job[[#This Row],[UPDM field name]],#REF!,4,FALSE)</f>
        <v>#REF!</v>
      </c>
    </row>
    <row r="71" spans="1:9" x14ac:dyDescent="0.3">
      <c r="A71" t="s">
        <v>119</v>
      </c>
      <c r="B71" t="s">
        <v>12</v>
      </c>
      <c r="C71" s="1" t="s">
        <v>120</v>
      </c>
      <c r="D71" t="s">
        <v>121</v>
      </c>
      <c r="E71" t="s">
        <v>122</v>
      </c>
      <c r="F71" t="e">
        <f>VLOOKUP(Job[[#This Row],[UPDM field name]],#REF!,2,FALSE)</f>
        <v>#REF!</v>
      </c>
      <c r="G71" t="e">
        <f>VLOOKUP(Job[[#This Row],[UPDM field name]],#REF!,3,FALSE)</f>
        <v>#REF!</v>
      </c>
      <c r="H71" t="e">
        <f>VLOOKUP(Job[[#This Row],[UPDM field name]],#REF!,4,FALSE)</f>
        <v>#REF!</v>
      </c>
    </row>
    <row r="72" spans="1:9" x14ac:dyDescent="0.3">
      <c r="A72" t="s">
        <v>119</v>
      </c>
      <c r="B72" t="s">
        <v>15</v>
      </c>
      <c r="C72" s="1" t="s">
        <v>102</v>
      </c>
      <c r="D72" t="s">
        <v>123</v>
      </c>
      <c r="E72" t="s">
        <v>104</v>
      </c>
      <c r="F72" t="e">
        <f>VLOOKUP(Job[[#This Row],[UPDM field name]],#REF!,2,FALSE)</f>
        <v>#REF!</v>
      </c>
      <c r="G72" t="e">
        <f>VLOOKUP(Job[[#This Row],[UPDM field name]],#REF!,3,FALSE)</f>
        <v>#REF!</v>
      </c>
      <c r="H72" t="e">
        <f>VLOOKUP(Job[[#This Row],[UPDM field name]],#REF!,4,FALSE)</f>
        <v>#REF!</v>
      </c>
    </row>
    <row r="73" spans="1:9" x14ac:dyDescent="0.3">
      <c r="A73" t="s">
        <v>124</v>
      </c>
      <c r="B73" t="s">
        <v>12</v>
      </c>
      <c r="C73" s="1" t="s">
        <v>125</v>
      </c>
      <c r="D73" t="s">
        <v>126</v>
      </c>
      <c r="F73" t="e">
        <f>VLOOKUP(Job[[#This Row],[UPDM field name]],#REF!,2,FALSE)</f>
        <v>#REF!</v>
      </c>
      <c r="G73" t="e">
        <f>VLOOKUP(Job[[#This Row],[UPDM field name]],#REF!,3,FALSE)</f>
        <v>#REF!</v>
      </c>
      <c r="H73" t="e">
        <f>VLOOKUP(Job[[#This Row],[UPDM field name]],#REF!,4,FALSE)</f>
        <v>#REF!</v>
      </c>
    </row>
    <row r="74" spans="1:9" x14ac:dyDescent="0.3">
      <c r="A74" t="s">
        <v>124</v>
      </c>
      <c r="B74" t="s">
        <v>15</v>
      </c>
      <c r="C74" t="s">
        <v>16</v>
      </c>
      <c r="D74" t="s">
        <v>127</v>
      </c>
      <c r="F74" t="e">
        <f>VLOOKUP(Job[[#This Row],[UPDM field name]],#REF!,2,FALSE)</f>
        <v>#REF!</v>
      </c>
      <c r="G74" t="e">
        <f>VLOOKUP(Job[[#This Row],[UPDM field name]],#REF!,3,FALSE)</f>
        <v>#REF!</v>
      </c>
      <c r="H74" t="e">
        <f>VLOOKUP(Job[[#This Row],[UPDM field name]],#REF!,4,FALSE)</f>
        <v>#REF!</v>
      </c>
    </row>
    <row r="75" spans="1:9" x14ac:dyDescent="0.3">
      <c r="A75" t="s">
        <v>128</v>
      </c>
      <c r="B75" t="s">
        <v>12</v>
      </c>
      <c r="C75" t="s">
        <v>69</v>
      </c>
      <c r="D75" t="s">
        <v>126</v>
      </c>
      <c r="F75" t="e">
        <f>VLOOKUP(Job[[#This Row],[UPDM field name]],#REF!,2,FALSE)</f>
        <v>#REF!</v>
      </c>
      <c r="G75" t="e">
        <f>VLOOKUP(Job[[#This Row],[UPDM field name]],#REF!,3,FALSE)</f>
        <v>#REF!</v>
      </c>
      <c r="H75" t="e">
        <f>VLOOKUP(Job[[#This Row],[UPDM field name]],#REF!,4,FALSE)</f>
        <v>#REF!</v>
      </c>
    </row>
    <row r="76" spans="1:9" x14ac:dyDescent="0.3">
      <c r="A76" t="s">
        <v>128</v>
      </c>
      <c r="B76" t="s">
        <v>15</v>
      </c>
      <c r="C76" t="s">
        <v>16</v>
      </c>
      <c r="D76" t="s">
        <v>129</v>
      </c>
      <c r="F76" t="e">
        <f>VLOOKUP(Job[[#This Row],[UPDM field name]],#REF!,2,FALSE)</f>
        <v>#REF!</v>
      </c>
      <c r="G76" t="e">
        <f>VLOOKUP(Job[[#This Row],[UPDM field name]],#REF!,3,FALSE)</f>
        <v>#REF!</v>
      </c>
      <c r="H76" t="e">
        <f>VLOOKUP(Job[[#This Row],[UPDM field name]],#REF!,4,FALSE)</f>
        <v>#REF!</v>
      </c>
    </row>
    <row r="77" spans="1:9" x14ac:dyDescent="0.3">
      <c r="A77" t="s">
        <v>130</v>
      </c>
      <c r="B77" t="s">
        <v>12</v>
      </c>
      <c r="C77" s="1" t="s">
        <v>109</v>
      </c>
      <c r="D77" t="s">
        <v>109</v>
      </c>
      <c r="E77" t="s">
        <v>110</v>
      </c>
      <c r="F77" t="e">
        <f>VLOOKUP(Job[[#This Row],[UPDM field name]],#REF!,2,FALSE)</f>
        <v>#REF!</v>
      </c>
      <c r="G77" t="e">
        <f>VLOOKUP(Job[[#This Row],[UPDM field name]],#REF!,3,FALSE)</f>
        <v>#REF!</v>
      </c>
      <c r="H77" t="e">
        <f>VLOOKUP(Job[[#This Row],[UPDM field name]],#REF!,4,FALSE)</f>
        <v>#REF!</v>
      </c>
    </row>
    <row r="78" spans="1:9" x14ac:dyDescent="0.3">
      <c r="A78" t="s">
        <v>130</v>
      </c>
      <c r="B78" t="s">
        <v>15</v>
      </c>
      <c r="C78" t="s">
        <v>16</v>
      </c>
      <c r="D78" t="s">
        <v>96</v>
      </c>
      <c r="F78" t="e">
        <f>VLOOKUP(Job[[#This Row],[UPDM field name]],#REF!,2,FALSE)</f>
        <v>#REF!</v>
      </c>
      <c r="G78" t="e">
        <f>VLOOKUP(Job[[#This Row],[UPDM field name]],#REF!,3,FALSE)</f>
        <v>#REF!</v>
      </c>
      <c r="H78" t="e">
        <f>VLOOKUP(Job[[#This Row],[UPDM field name]],#REF!,4,FALSE)</f>
        <v>#REF!</v>
      </c>
    </row>
    <row r="79" spans="1:9" x14ac:dyDescent="0.3">
      <c r="A79" t="s">
        <v>131</v>
      </c>
      <c r="B79" t="s">
        <v>12</v>
      </c>
      <c r="C79" t="s">
        <v>132</v>
      </c>
      <c r="D79" t="s">
        <v>133</v>
      </c>
      <c r="F79" t="e">
        <f>VLOOKUP(Job[[#This Row],[UPDM field name]],#REF!,2,FALSE)</f>
        <v>#REF!</v>
      </c>
      <c r="G79" t="e">
        <f>VLOOKUP(Job[[#This Row],[UPDM field name]],#REF!,3,FALSE)</f>
        <v>#REF!</v>
      </c>
      <c r="H79" t="e">
        <f>VLOOKUP(Job[[#This Row],[UPDM field name]],#REF!,4,FALSE)</f>
        <v>#REF!</v>
      </c>
    </row>
    <row r="80" spans="1:9" x14ac:dyDescent="0.3">
      <c r="A80" t="s">
        <v>131</v>
      </c>
      <c r="B80" t="s">
        <v>15</v>
      </c>
      <c r="C80" t="s">
        <v>16</v>
      </c>
      <c r="D80" t="s">
        <v>134</v>
      </c>
      <c r="F80" t="e">
        <f>VLOOKUP(Job[[#This Row],[UPDM field name]],#REF!,2,FALSE)</f>
        <v>#REF!</v>
      </c>
      <c r="G80" t="e">
        <f>VLOOKUP(Job[[#This Row],[UPDM field name]],#REF!,3,FALSE)</f>
        <v>#REF!</v>
      </c>
      <c r="H80" t="e">
        <f>VLOOKUP(Job[[#This Row],[UPDM field name]],#REF!,4,FALSE)</f>
        <v>#REF!</v>
      </c>
    </row>
    <row r="81" spans="1:9" x14ac:dyDescent="0.3">
      <c r="A81" t="s">
        <v>135</v>
      </c>
      <c r="B81" t="s">
        <v>12</v>
      </c>
      <c r="C81" t="s">
        <v>69</v>
      </c>
      <c r="D81" t="s">
        <v>136</v>
      </c>
      <c r="F81" t="e">
        <f>VLOOKUP(Job[[#This Row],[UPDM field name]],#REF!,2,FALSE)</f>
        <v>#REF!</v>
      </c>
      <c r="G81" t="e">
        <f>VLOOKUP(Job[[#This Row],[UPDM field name]],#REF!,3,FALSE)</f>
        <v>#REF!</v>
      </c>
      <c r="H81" t="e">
        <f>VLOOKUP(Job[[#This Row],[UPDM field name]],#REF!,4,FALSE)</f>
        <v>#REF!</v>
      </c>
    </row>
    <row r="82" spans="1:9" x14ac:dyDescent="0.3">
      <c r="A82" t="s">
        <v>135</v>
      </c>
      <c r="B82" t="s">
        <v>15</v>
      </c>
      <c r="F82" t="e">
        <f>VLOOKUP(Job[[#This Row],[UPDM field name]],#REF!,2,FALSE)</f>
        <v>#REF!</v>
      </c>
      <c r="G82" t="e">
        <f>VLOOKUP(Job[[#This Row],[UPDM field name]],#REF!,3,FALSE)</f>
        <v>#REF!</v>
      </c>
      <c r="H82" t="e">
        <f>VLOOKUP(Job[[#This Row],[UPDM field name]],#REF!,4,FALSE)</f>
        <v>#REF!</v>
      </c>
    </row>
    <row r="83" spans="1:9" x14ac:dyDescent="0.3">
      <c r="A83" t="s">
        <v>137</v>
      </c>
      <c r="B83" t="s">
        <v>12</v>
      </c>
      <c r="C83" t="s">
        <v>69</v>
      </c>
      <c r="D83" t="s">
        <v>138</v>
      </c>
      <c r="F83" t="e">
        <f>VLOOKUP(Job[[#This Row],[UPDM field name]],#REF!,2,FALSE)</f>
        <v>#REF!</v>
      </c>
      <c r="G83" t="e">
        <f>VLOOKUP(Job[[#This Row],[UPDM field name]],#REF!,3,FALSE)</f>
        <v>#REF!</v>
      </c>
      <c r="H83" t="e">
        <f>VLOOKUP(Job[[#This Row],[UPDM field name]],#REF!,4,FALSE)</f>
        <v>#REF!</v>
      </c>
    </row>
    <row r="84" spans="1:9" x14ac:dyDescent="0.3">
      <c r="A84" t="s">
        <v>137</v>
      </c>
      <c r="B84" t="s">
        <v>12</v>
      </c>
      <c r="C84" s="1" t="s">
        <v>106</v>
      </c>
      <c r="D84" t="s">
        <v>139</v>
      </c>
      <c r="E84" t="s">
        <v>108</v>
      </c>
      <c r="F84" t="e">
        <f>VLOOKUP(Job[[#This Row],[UPDM field name]],#REF!,2,FALSE)</f>
        <v>#REF!</v>
      </c>
      <c r="G84" t="e">
        <f>VLOOKUP(Job[[#This Row],[UPDM field name]],#REF!,3,FALSE)</f>
        <v>#REF!</v>
      </c>
      <c r="H84" t="e">
        <f>VLOOKUP(Job[[#This Row],[UPDM field name]],#REF!,4,FALSE)</f>
        <v>#REF!</v>
      </c>
    </row>
    <row r="85" spans="1:9" x14ac:dyDescent="0.3">
      <c r="A85" t="s">
        <v>137</v>
      </c>
      <c r="B85" t="s">
        <v>12</v>
      </c>
      <c r="C85" s="1" t="s">
        <v>106</v>
      </c>
      <c r="D85" t="s">
        <v>140</v>
      </c>
      <c r="E85" t="s">
        <v>108</v>
      </c>
      <c r="F85" t="e">
        <f>VLOOKUP(Job[[#This Row],[UPDM field name]],#REF!,2,FALSE)</f>
        <v>#REF!</v>
      </c>
      <c r="G85" t="e">
        <f>VLOOKUP(Job[[#This Row],[UPDM field name]],#REF!,3,FALSE)</f>
        <v>#REF!</v>
      </c>
      <c r="H85" t="e">
        <f>VLOOKUP(Job[[#This Row],[UPDM field name]],#REF!,4,FALSE)</f>
        <v>#REF!</v>
      </c>
    </row>
    <row r="86" spans="1:9" x14ac:dyDescent="0.3">
      <c r="A86" t="s">
        <v>137</v>
      </c>
      <c r="B86" t="s">
        <v>15</v>
      </c>
      <c r="C86" t="s">
        <v>16</v>
      </c>
      <c r="D86" t="s">
        <v>96</v>
      </c>
      <c r="F86" t="e">
        <f>VLOOKUP(Job[[#This Row],[UPDM field name]],#REF!,2,FALSE)</f>
        <v>#REF!</v>
      </c>
      <c r="G86" t="e">
        <f>VLOOKUP(Job[[#This Row],[UPDM field name]],#REF!,3,FALSE)</f>
        <v>#REF!</v>
      </c>
      <c r="H86" t="e">
        <f>VLOOKUP(Job[[#This Row],[UPDM field name]],#REF!,4,FALSE)</f>
        <v>#REF!</v>
      </c>
      <c r="I86" t="s">
        <v>141</v>
      </c>
    </row>
    <row r="87" spans="1:9" x14ac:dyDescent="0.3">
      <c r="A87" t="s">
        <v>142</v>
      </c>
      <c r="B87" t="s">
        <v>12</v>
      </c>
      <c r="C87" t="s">
        <v>69</v>
      </c>
      <c r="D87" t="s">
        <v>143</v>
      </c>
      <c r="F87" t="e">
        <f>VLOOKUP(Job[[#This Row],[UPDM field name]],#REF!,2,FALSE)</f>
        <v>#REF!</v>
      </c>
      <c r="G87" t="e">
        <f>VLOOKUP(Job[[#This Row],[UPDM field name]],#REF!,3,FALSE)</f>
        <v>#REF!</v>
      </c>
      <c r="H87" t="e">
        <f>VLOOKUP(Job[[#This Row],[UPDM field name]],#REF!,4,FALSE)</f>
        <v>#REF!</v>
      </c>
    </row>
    <row r="88" spans="1:9" x14ac:dyDescent="0.3">
      <c r="A88" t="s">
        <v>142</v>
      </c>
      <c r="B88" t="s">
        <v>12</v>
      </c>
      <c r="C88" s="1" t="s">
        <v>109</v>
      </c>
      <c r="D88" t="s">
        <v>143</v>
      </c>
      <c r="E88" t="s">
        <v>110</v>
      </c>
      <c r="F88" t="e">
        <f>VLOOKUP(Job[[#This Row],[UPDM field name]],#REF!,2,FALSE)</f>
        <v>#REF!</v>
      </c>
      <c r="G88" t="e">
        <f>VLOOKUP(Job[[#This Row],[UPDM field name]],#REF!,3,FALSE)</f>
        <v>#REF!</v>
      </c>
      <c r="H88" t="e">
        <f>VLOOKUP(Job[[#This Row],[UPDM field name]],#REF!,4,FALSE)</f>
        <v>#REF!</v>
      </c>
    </row>
    <row r="89" spans="1:9" x14ac:dyDescent="0.3">
      <c r="A89" t="s">
        <v>142</v>
      </c>
      <c r="B89" t="s">
        <v>15</v>
      </c>
      <c r="C89" t="s">
        <v>16</v>
      </c>
      <c r="D89" t="s">
        <v>144</v>
      </c>
      <c r="F89" t="e">
        <f>VLOOKUP(Job[[#This Row],[UPDM field name]],#REF!,2,FALSE)</f>
        <v>#REF!</v>
      </c>
      <c r="G89" t="e">
        <f>VLOOKUP(Job[[#This Row],[UPDM field name]],#REF!,3,FALSE)</f>
        <v>#REF!</v>
      </c>
      <c r="H89" t="e">
        <f>VLOOKUP(Job[[#This Row],[UPDM field name]],#REF!,4,FALSE)</f>
        <v>#REF!</v>
      </c>
    </row>
    <row r="90" spans="1:9" x14ac:dyDescent="0.3">
      <c r="A90" t="s">
        <v>145</v>
      </c>
      <c r="B90" t="s">
        <v>12</v>
      </c>
      <c r="C90" t="s">
        <v>69</v>
      </c>
      <c r="D90" t="s">
        <v>146</v>
      </c>
      <c r="F90" t="e">
        <f>VLOOKUP(Job[[#This Row],[UPDM field name]],#REF!,2,FALSE)</f>
        <v>#REF!</v>
      </c>
      <c r="G90" t="e">
        <f>VLOOKUP(Job[[#This Row],[UPDM field name]],#REF!,3,FALSE)</f>
        <v>#REF!</v>
      </c>
      <c r="H90" t="e">
        <f>VLOOKUP(Job[[#This Row],[UPDM field name]],#REF!,4,FALSE)</f>
        <v>#REF!</v>
      </c>
    </row>
    <row r="91" spans="1:9" x14ac:dyDescent="0.3">
      <c r="A91" t="s">
        <v>145</v>
      </c>
      <c r="B91" t="s">
        <v>12</v>
      </c>
      <c r="C91" s="1" t="s">
        <v>106</v>
      </c>
      <c r="D91" t="s">
        <v>147</v>
      </c>
      <c r="E91" t="s">
        <v>108</v>
      </c>
      <c r="F91" t="e">
        <f>VLOOKUP(Job[[#This Row],[UPDM field name]],#REF!,2,FALSE)</f>
        <v>#REF!</v>
      </c>
      <c r="G91" t="e">
        <f>VLOOKUP(Job[[#This Row],[UPDM field name]],#REF!,3,FALSE)</f>
        <v>#REF!</v>
      </c>
      <c r="H91" t="e">
        <f>VLOOKUP(Job[[#This Row],[UPDM field name]],#REF!,4,FALSE)</f>
        <v>#REF!</v>
      </c>
    </row>
    <row r="92" spans="1:9" x14ac:dyDescent="0.3">
      <c r="A92" t="s">
        <v>145</v>
      </c>
      <c r="B92" t="s">
        <v>12</v>
      </c>
      <c r="C92" s="1" t="s">
        <v>106</v>
      </c>
      <c r="D92" t="s">
        <v>148</v>
      </c>
      <c r="E92" t="s">
        <v>108</v>
      </c>
      <c r="F92" t="e">
        <f>VLOOKUP(Job[[#This Row],[UPDM field name]],#REF!,2,FALSE)</f>
        <v>#REF!</v>
      </c>
      <c r="G92" t="e">
        <f>VLOOKUP(Job[[#This Row],[UPDM field name]],#REF!,3,FALSE)</f>
        <v>#REF!</v>
      </c>
      <c r="H92" t="e">
        <f>VLOOKUP(Job[[#This Row],[UPDM field name]],#REF!,4,FALSE)</f>
        <v>#REF!</v>
      </c>
    </row>
    <row r="93" spans="1:9" x14ac:dyDescent="0.3">
      <c r="A93" t="s">
        <v>145</v>
      </c>
      <c r="B93" t="s">
        <v>12</v>
      </c>
      <c r="C93" s="1" t="s">
        <v>109</v>
      </c>
      <c r="D93" t="s">
        <v>149</v>
      </c>
      <c r="E93" t="s">
        <v>110</v>
      </c>
      <c r="F93" t="e">
        <f>VLOOKUP(Job[[#This Row],[UPDM field name]],#REF!,2,FALSE)</f>
        <v>#REF!</v>
      </c>
      <c r="G93" t="e">
        <f>VLOOKUP(Job[[#This Row],[UPDM field name]],#REF!,3,FALSE)</f>
        <v>#REF!</v>
      </c>
      <c r="H93" t="e">
        <f>VLOOKUP(Job[[#This Row],[UPDM field name]],#REF!,4,FALSE)</f>
        <v>#REF!</v>
      </c>
    </row>
    <row r="94" spans="1:9" x14ac:dyDescent="0.3">
      <c r="A94" t="s">
        <v>145</v>
      </c>
      <c r="B94" t="s">
        <v>15</v>
      </c>
      <c r="C94" t="s">
        <v>16</v>
      </c>
      <c r="D94" t="s">
        <v>96</v>
      </c>
      <c r="F94" t="e">
        <f>VLOOKUP(Job[[#This Row],[UPDM field name]],#REF!,2,FALSE)</f>
        <v>#REF!</v>
      </c>
      <c r="G94" t="e">
        <f>VLOOKUP(Job[[#This Row],[UPDM field name]],#REF!,3,FALSE)</f>
        <v>#REF!</v>
      </c>
      <c r="H94" t="e">
        <f>VLOOKUP(Job[[#This Row],[UPDM field name]],#REF!,4,FALSE)</f>
        <v>#REF!</v>
      </c>
      <c r="I94" t="s">
        <v>150</v>
      </c>
    </row>
    <row r="95" spans="1:9" x14ac:dyDescent="0.3">
      <c r="A95" t="s">
        <v>151</v>
      </c>
      <c r="B95" t="s">
        <v>12</v>
      </c>
      <c r="C95" t="s">
        <v>69</v>
      </c>
      <c r="D95" t="s">
        <v>152</v>
      </c>
      <c r="F95" t="e">
        <f>VLOOKUP(Job[[#This Row],[UPDM field name]],#REF!,2,FALSE)</f>
        <v>#REF!</v>
      </c>
      <c r="G95" t="e">
        <f>VLOOKUP(Job[[#This Row],[UPDM field name]],#REF!,3,FALSE)</f>
        <v>#REF!</v>
      </c>
      <c r="H95" t="e">
        <f>VLOOKUP(Job[[#This Row],[UPDM field name]],#REF!,4,FALSE)</f>
        <v>#REF!</v>
      </c>
    </row>
    <row r="96" spans="1:9" x14ac:dyDescent="0.3">
      <c r="A96" t="s">
        <v>151</v>
      </c>
      <c r="B96" t="s">
        <v>12</v>
      </c>
      <c r="C96" s="1" t="s">
        <v>109</v>
      </c>
      <c r="D96" t="s">
        <v>153</v>
      </c>
      <c r="E96" t="s">
        <v>110</v>
      </c>
      <c r="F96" t="e">
        <f>VLOOKUP(Job[[#This Row],[UPDM field name]],#REF!,2,FALSE)</f>
        <v>#REF!</v>
      </c>
      <c r="G96" t="e">
        <f>VLOOKUP(Job[[#This Row],[UPDM field name]],#REF!,3,FALSE)</f>
        <v>#REF!</v>
      </c>
      <c r="H96" t="e">
        <f>VLOOKUP(Job[[#This Row],[UPDM field name]],#REF!,4,FALSE)</f>
        <v>#REF!</v>
      </c>
    </row>
    <row r="97" spans="1:9" x14ac:dyDescent="0.3">
      <c r="A97" t="s">
        <v>151</v>
      </c>
      <c r="B97" t="s">
        <v>15</v>
      </c>
      <c r="C97" t="s">
        <v>16</v>
      </c>
      <c r="D97" t="s">
        <v>154</v>
      </c>
      <c r="F97" t="e">
        <f>VLOOKUP(Job[[#This Row],[UPDM field name]],#REF!,2,FALSE)</f>
        <v>#REF!</v>
      </c>
      <c r="G97" t="e">
        <f>VLOOKUP(Job[[#This Row],[UPDM field name]],#REF!,3,FALSE)</f>
        <v>#REF!</v>
      </c>
      <c r="H97" t="e">
        <f>VLOOKUP(Job[[#This Row],[UPDM field name]],#REF!,4,FALSE)</f>
        <v>#REF!</v>
      </c>
    </row>
    <row r="98" spans="1:9" x14ac:dyDescent="0.3">
      <c r="A98" t="s">
        <v>155</v>
      </c>
      <c r="B98" t="s">
        <v>12</v>
      </c>
      <c r="C98" s="1" t="s">
        <v>106</v>
      </c>
      <c r="D98" t="s">
        <v>156</v>
      </c>
      <c r="E98" t="s">
        <v>108</v>
      </c>
      <c r="F98" t="e">
        <f>VLOOKUP(Job[[#This Row],[UPDM field name]],#REF!,2,FALSE)</f>
        <v>#REF!</v>
      </c>
      <c r="G98" t="e">
        <f>VLOOKUP(Job[[#This Row],[UPDM field name]],#REF!,3,FALSE)</f>
        <v>#REF!</v>
      </c>
      <c r="H98" t="e">
        <f>VLOOKUP(Job[[#This Row],[UPDM field name]],#REF!,4,FALSE)</f>
        <v>#REF!</v>
      </c>
    </row>
    <row r="99" spans="1:9" x14ac:dyDescent="0.3">
      <c r="A99" t="s">
        <v>155</v>
      </c>
      <c r="B99" t="s">
        <v>15</v>
      </c>
      <c r="C99" t="s">
        <v>16</v>
      </c>
      <c r="D99" t="s">
        <v>96</v>
      </c>
      <c r="F99" t="e">
        <f>VLOOKUP(Job[[#This Row],[UPDM field name]],#REF!,2,FALSE)</f>
        <v>#REF!</v>
      </c>
      <c r="G99" t="e">
        <f>VLOOKUP(Job[[#This Row],[UPDM field name]],#REF!,3,FALSE)</f>
        <v>#REF!</v>
      </c>
      <c r="H99" t="e">
        <f>VLOOKUP(Job[[#This Row],[UPDM field name]],#REF!,4,FALSE)</f>
        <v>#REF!</v>
      </c>
      <c r="I99" t="s">
        <v>157</v>
      </c>
    </row>
    <row r="100" spans="1:9" x14ac:dyDescent="0.3">
      <c r="A100" t="s">
        <v>158</v>
      </c>
      <c r="B100" t="s">
        <v>12</v>
      </c>
      <c r="C100" t="s">
        <v>69</v>
      </c>
      <c r="D100" t="s">
        <v>159</v>
      </c>
      <c r="F100" t="e">
        <f>VLOOKUP(Job[[#This Row],[UPDM field name]],#REF!,2,FALSE)</f>
        <v>#REF!</v>
      </c>
      <c r="G100" t="e">
        <f>VLOOKUP(Job[[#This Row],[UPDM field name]],#REF!,3,FALSE)</f>
        <v>#REF!</v>
      </c>
      <c r="H100" t="e">
        <f>VLOOKUP(Job[[#This Row],[UPDM field name]],#REF!,4,FALSE)</f>
        <v>#REF!</v>
      </c>
    </row>
    <row r="101" spans="1:9" x14ac:dyDescent="0.3">
      <c r="A101" t="s">
        <v>158</v>
      </c>
      <c r="B101" t="s">
        <v>15</v>
      </c>
      <c r="C101" t="s">
        <v>16</v>
      </c>
      <c r="D101" t="s">
        <v>160</v>
      </c>
      <c r="F101" t="e">
        <f>VLOOKUP(Job[[#This Row],[UPDM field name]],#REF!,2,FALSE)</f>
        <v>#REF!</v>
      </c>
      <c r="G101" t="e">
        <f>VLOOKUP(Job[[#This Row],[UPDM field name]],#REF!,3,FALSE)</f>
        <v>#REF!</v>
      </c>
      <c r="H101" t="e">
        <f>VLOOKUP(Job[[#This Row],[UPDM field name]],#REF!,4,FALSE)</f>
        <v>#REF!</v>
      </c>
    </row>
    <row r="102" spans="1:9" x14ac:dyDescent="0.3">
      <c r="A102" t="s">
        <v>161</v>
      </c>
      <c r="B102" t="s">
        <v>12</v>
      </c>
      <c r="C102" s="1" t="s">
        <v>109</v>
      </c>
      <c r="D102" t="s">
        <v>162</v>
      </c>
      <c r="E102" t="s">
        <v>110</v>
      </c>
      <c r="F102" t="e">
        <f>VLOOKUP(Job[[#This Row],[UPDM field name]],#REF!,2,FALSE)</f>
        <v>#REF!</v>
      </c>
      <c r="G102" t="e">
        <f>VLOOKUP(Job[[#This Row],[UPDM field name]],#REF!,3,FALSE)</f>
        <v>#REF!</v>
      </c>
      <c r="H102" t="e">
        <f>VLOOKUP(Job[[#This Row],[UPDM field name]],#REF!,4,FALSE)</f>
        <v>#REF!</v>
      </c>
    </row>
    <row r="103" spans="1:9" x14ac:dyDescent="0.3">
      <c r="A103" t="s">
        <v>161</v>
      </c>
      <c r="B103" t="s">
        <v>15</v>
      </c>
      <c r="C103" s="1" t="s">
        <v>102</v>
      </c>
      <c r="D103" t="s">
        <v>161</v>
      </c>
      <c r="E103" t="s">
        <v>104</v>
      </c>
      <c r="F103" t="e">
        <f>VLOOKUP(Job[[#This Row],[UPDM field name]],#REF!,2,FALSE)</f>
        <v>#REF!</v>
      </c>
      <c r="G103" t="e">
        <f>VLOOKUP(Job[[#This Row],[UPDM field name]],#REF!,3,FALSE)</f>
        <v>#REF!</v>
      </c>
      <c r="H103" t="e">
        <f>VLOOKUP(Job[[#This Row],[UPDM field name]],#REF!,4,FALSE)</f>
        <v>#REF!</v>
      </c>
    </row>
    <row r="104" spans="1:9" x14ac:dyDescent="0.3">
      <c r="A104" t="s">
        <v>163</v>
      </c>
      <c r="B104" t="s">
        <v>12</v>
      </c>
      <c r="C104" s="1" t="s">
        <v>106</v>
      </c>
      <c r="D104" t="s">
        <v>164</v>
      </c>
      <c r="E104" t="s">
        <v>108</v>
      </c>
      <c r="F104" t="e">
        <f>VLOOKUP(Job[[#This Row],[UPDM field name]],#REF!,2,FALSE)</f>
        <v>#REF!</v>
      </c>
      <c r="G104" t="e">
        <f>VLOOKUP(Job[[#This Row],[UPDM field name]],#REF!,3,FALSE)</f>
        <v>#REF!</v>
      </c>
      <c r="H104" t="e">
        <f>VLOOKUP(Job[[#This Row],[UPDM field name]],#REF!,4,FALSE)</f>
        <v>#REF!</v>
      </c>
    </row>
    <row r="105" spans="1:9" x14ac:dyDescent="0.3">
      <c r="A105" t="s">
        <v>163</v>
      </c>
      <c r="B105" t="s">
        <v>15</v>
      </c>
      <c r="C105" s="1" t="s">
        <v>102</v>
      </c>
      <c r="D105" t="s">
        <v>163</v>
      </c>
      <c r="E105" t="s">
        <v>104</v>
      </c>
      <c r="F105" t="e">
        <f>VLOOKUP(Job[[#This Row],[UPDM field name]],#REF!,2,FALSE)</f>
        <v>#REF!</v>
      </c>
      <c r="G105" t="e">
        <f>VLOOKUP(Job[[#This Row],[UPDM field name]],#REF!,3,FALSE)</f>
        <v>#REF!</v>
      </c>
      <c r="H105" t="e">
        <f>VLOOKUP(Job[[#This Row],[UPDM field name]],#REF!,4,FALSE)</f>
        <v>#REF!</v>
      </c>
    </row>
    <row r="106" spans="1:9" x14ac:dyDescent="0.3">
      <c r="A106" t="s">
        <v>165</v>
      </c>
      <c r="B106" t="s">
        <v>12</v>
      </c>
      <c r="C106" t="s">
        <v>69</v>
      </c>
      <c r="D106" t="s">
        <v>126</v>
      </c>
      <c r="F106" t="e">
        <f>VLOOKUP(Job[[#This Row],[UPDM field name]],#REF!,2,FALSE)</f>
        <v>#REF!</v>
      </c>
      <c r="G106" t="e">
        <f>VLOOKUP(Job[[#This Row],[UPDM field name]],#REF!,3,FALSE)</f>
        <v>#REF!</v>
      </c>
      <c r="H106" t="e">
        <f>VLOOKUP(Job[[#This Row],[UPDM field name]],#REF!,4,FALSE)</f>
        <v>#REF!</v>
      </c>
      <c r="I106" t="s">
        <v>166</v>
      </c>
    </row>
    <row r="107" spans="1:9" x14ac:dyDescent="0.3">
      <c r="A107" t="s">
        <v>165</v>
      </c>
      <c r="B107" t="s">
        <v>15</v>
      </c>
      <c r="C107" t="s">
        <v>16</v>
      </c>
      <c r="D107" t="s">
        <v>167</v>
      </c>
      <c r="F107" t="e">
        <f>VLOOKUP(Job[[#This Row],[UPDM field name]],#REF!,2,FALSE)</f>
        <v>#REF!</v>
      </c>
      <c r="G107" t="e">
        <f>VLOOKUP(Job[[#This Row],[UPDM field name]],#REF!,3,FALSE)</f>
        <v>#REF!</v>
      </c>
      <c r="H107" t="e">
        <f>VLOOKUP(Job[[#This Row],[UPDM field name]],#REF!,4,FALSE)</f>
        <v>#REF!</v>
      </c>
    </row>
    <row r="108" spans="1:9" x14ac:dyDescent="0.3">
      <c r="A108" t="s">
        <v>168</v>
      </c>
      <c r="B108" t="s">
        <v>12</v>
      </c>
      <c r="C108" s="1" t="s">
        <v>169</v>
      </c>
      <c r="D108" t="s">
        <v>37</v>
      </c>
      <c r="E108" t="s">
        <v>170</v>
      </c>
      <c r="F108" t="e">
        <f>VLOOKUP(Job[[#This Row],[UPDM field name]],#REF!,2,FALSE)</f>
        <v>#REF!</v>
      </c>
      <c r="G108" t="e">
        <f>VLOOKUP(Job[[#This Row],[UPDM field name]],#REF!,3,FALSE)</f>
        <v>#REF!</v>
      </c>
      <c r="H108" t="e">
        <f>VLOOKUP(Job[[#This Row],[UPDM field name]],#REF!,4,FALSE)</f>
        <v>#REF!</v>
      </c>
    </row>
    <row r="109" spans="1:9" x14ac:dyDescent="0.3">
      <c r="A109" t="s">
        <v>168</v>
      </c>
      <c r="B109" t="s">
        <v>15</v>
      </c>
      <c r="C109" s="1" t="s">
        <v>39</v>
      </c>
      <c r="D109" t="s">
        <v>40</v>
      </c>
      <c r="E109" t="s">
        <v>171</v>
      </c>
      <c r="F109" t="e">
        <f>VLOOKUP(Job[[#This Row],[UPDM field name]],#REF!,2,FALSE)</f>
        <v>#REF!</v>
      </c>
      <c r="G109" t="e">
        <f>VLOOKUP(Job[[#This Row],[UPDM field name]],#REF!,3,FALSE)</f>
        <v>#REF!</v>
      </c>
      <c r="H109" t="e">
        <f>VLOOKUP(Job[[#This Row],[UPDM field name]],#REF!,4,FALSE)</f>
        <v>#REF!</v>
      </c>
    </row>
    <row r="110" spans="1:9" x14ac:dyDescent="0.3">
      <c r="A110" t="s">
        <v>172</v>
      </c>
      <c r="B110" t="s">
        <v>12</v>
      </c>
      <c r="C110" s="1" t="s">
        <v>169</v>
      </c>
      <c r="D110" t="s">
        <v>43</v>
      </c>
      <c r="E110" t="s">
        <v>170</v>
      </c>
      <c r="F110" t="e">
        <f>VLOOKUP(Job[[#This Row],[UPDM field name]],#REF!,2,FALSE)</f>
        <v>#REF!</v>
      </c>
      <c r="G110" t="e">
        <f>VLOOKUP(Job[[#This Row],[UPDM field name]],#REF!,3,FALSE)</f>
        <v>#REF!</v>
      </c>
      <c r="H110" t="e">
        <f>VLOOKUP(Job[[#This Row],[UPDM field name]],#REF!,4,FALSE)</f>
        <v>#REF!</v>
      </c>
    </row>
    <row r="111" spans="1:9" x14ac:dyDescent="0.3">
      <c r="A111" t="s">
        <v>172</v>
      </c>
      <c r="B111" t="s">
        <v>15</v>
      </c>
      <c r="C111" s="1" t="s">
        <v>39</v>
      </c>
      <c r="D111" t="s">
        <v>44</v>
      </c>
      <c r="E111" t="s">
        <v>171</v>
      </c>
      <c r="F111" t="e">
        <f>VLOOKUP(Job[[#This Row],[UPDM field name]],#REF!,2,FALSE)</f>
        <v>#REF!</v>
      </c>
      <c r="G111" t="e">
        <f>VLOOKUP(Job[[#This Row],[UPDM field name]],#REF!,3,FALSE)</f>
        <v>#REF!</v>
      </c>
      <c r="H111" t="e">
        <f>VLOOKUP(Job[[#This Row],[UPDM field name]],#REF!,4,FALSE)</f>
        <v>#REF!</v>
      </c>
    </row>
    <row r="112" spans="1:9" x14ac:dyDescent="0.3">
      <c r="A112" t="s">
        <v>173</v>
      </c>
      <c r="B112" t="s">
        <v>12</v>
      </c>
      <c r="C112" s="1" t="s">
        <v>169</v>
      </c>
      <c r="D112" t="s">
        <v>46</v>
      </c>
      <c r="E112" t="s">
        <v>170</v>
      </c>
      <c r="F112" t="e">
        <f>VLOOKUP(Job[[#This Row],[UPDM field name]],#REF!,2,FALSE)</f>
        <v>#REF!</v>
      </c>
      <c r="G112" t="e">
        <f>VLOOKUP(Job[[#This Row],[UPDM field name]],#REF!,3,FALSE)</f>
        <v>#REF!</v>
      </c>
      <c r="H112" t="e">
        <f>VLOOKUP(Job[[#This Row],[UPDM field name]],#REF!,4,FALSE)</f>
        <v>#REF!</v>
      </c>
    </row>
    <row r="113" spans="1:9" x14ac:dyDescent="0.3">
      <c r="A113" t="s">
        <v>173</v>
      </c>
      <c r="B113" t="s">
        <v>15</v>
      </c>
      <c r="C113" s="1" t="s">
        <v>39</v>
      </c>
      <c r="D113" t="s">
        <v>47</v>
      </c>
      <c r="E113" t="s">
        <v>171</v>
      </c>
      <c r="F113" t="e">
        <f>VLOOKUP(Job[[#This Row],[UPDM field name]],#REF!,2,FALSE)</f>
        <v>#REF!</v>
      </c>
      <c r="G113" t="e">
        <f>VLOOKUP(Job[[#This Row],[UPDM field name]],#REF!,3,FALSE)</f>
        <v>#REF!</v>
      </c>
      <c r="H113" t="e">
        <f>VLOOKUP(Job[[#This Row],[UPDM field name]],#REF!,4,FALSE)</f>
        <v>#REF!</v>
      </c>
    </row>
    <row r="114" spans="1:9" x14ac:dyDescent="0.3">
      <c r="A114" t="s">
        <v>174</v>
      </c>
      <c r="B114" t="s">
        <v>12</v>
      </c>
      <c r="D114" s="1"/>
      <c r="F114" t="e">
        <f>VLOOKUP(Job[[#This Row],[UPDM field name]],#REF!,2,FALSE)</f>
        <v>#REF!</v>
      </c>
      <c r="G114" t="e">
        <f>VLOOKUP(Job[[#This Row],[UPDM field name]],#REF!,3,FALSE)</f>
        <v>#REF!</v>
      </c>
      <c r="H114" t="e">
        <f>VLOOKUP(Job[[#This Row],[UPDM field name]],#REF!,4,FALSE)</f>
        <v>#REF!</v>
      </c>
    </row>
    <row r="115" spans="1:9" x14ac:dyDescent="0.3">
      <c r="A115" t="s">
        <v>174</v>
      </c>
      <c r="B115" t="s">
        <v>15</v>
      </c>
      <c r="C115" s="1" t="s">
        <v>39</v>
      </c>
      <c r="D115" t="s">
        <v>49</v>
      </c>
      <c r="E115" t="s">
        <v>171</v>
      </c>
      <c r="F115" t="e">
        <f>VLOOKUP(Job[[#This Row],[UPDM field name]],#REF!,2,FALSE)</f>
        <v>#REF!</v>
      </c>
      <c r="G115" t="e">
        <f>VLOOKUP(Job[[#This Row],[UPDM field name]],#REF!,3,FALSE)</f>
        <v>#REF!</v>
      </c>
      <c r="H115" t="e">
        <f>VLOOKUP(Job[[#This Row],[UPDM field name]],#REF!,4,FALSE)</f>
        <v>#REF!</v>
      </c>
    </row>
    <row r="116" spans="1:9" x14ac:dyDescent="0.3">
      <c r="A116" t="s">
        <v>175</v>
      </c>
      <c r="B116" t="s">
        <v>12</v>
      </c>
      <c r="C116" s="1" t="s">
        <v>169</v>
      </c>
      <c r="D116" t="s">
        <v>51</v>
      </c>
      <c r="E116" t="s">
        <v>170</v>
      </c>
      <c r="F116" t="e">
        <f>VLOOKUP(Job[[#This Row],[UPDM field name]],#REF!,2,FALSE)</f>
        <v>#REF!</v>
      </c>
      <c r="G116" t="e">
        <f>VLOOKUP(Job[[#This Row],[UPDM field name]],#REF!,3,FALSE)</f>
        <v>#REF!</v>
      </c>
      <c r="H116" t="e">
        <f>VLOOKUP(Job[[#This Row],[UPDM field name]],#REF!,4,FALSE)</f>
        <v>#REF!</v>
      </c>
    </row>
    <row r="117" spans="1:9" x14ac:dyDescent="0.3">
      <c r="A117" t="s">
        <v>175</v>
      </c>
      <c r="B117" t="s">
        <v>15</v>
      </c>
      <c r="C117" s="1" t="s">
        <v>39</v>
      </c>
      <c r="D117" t="s">
        <v>52</v>
      </c>
      <c r="E117" t="s">
        <v>171</v>
      </c>
      <c r="F117" t="e">
        <f>VLOOKUP(Job[[#This Row],[UPDM field name]],#REF!,2,FALSE)</f>
        <v>#REF!</v>
      </c>
      <c r="G117" t="e">
        <f>VLOOKUP(Job[[#This Row],[UPDM field name]],#REF!,3,FALSE)</f>
        <v>#REF!</v>
      </c>
      <c r="H117" t="e">
        <f>VLOOKUP(Job[[#This Row],[UPDM field name]],#REF!,4,FALSE)</f>
        <v>#REF!</v>
      </c>
    </row>
    <row r="118" spans="1:9" x14ac:dyDescent="0.3">
      <c r="A118" t="s">
        <v>176</v>
      </c>
      <c r="B118" t="s">
        <v>12</v>
      </c>
      <c r="C118" s="1" t="s">
        <v>169</v>
      </c>
      <c r="D118" t="s">
        <v>54</v>
      </c>
      <c r="E118" t="s">
        <v>170</v>
      </c>
      <c r="F118" t="e">
        <f>VLOOKUP(Job[[#This Row],[UPDM field name]],#REF!,2,FALSE)</f>
        <v>#REF!</v>
      </c>
      <c r="G118" t="e">
        <f>VLOOKUP(Job[[#This Row],[UPDM field name]],#REF!,3,FALSE)</f>
        <v>#REF!</v>
      </c>
      <c r="H118" t="e">
        <f>VLOOKUP(Job[[#This Row],[UPDM field name]],#REF!,4,FALSE)</f>
        <v>#REF!</v>
      </c>
    </row>
    <row r="119" spans="1:9" x14ac:dyDescent="0.3">
      <c r="A119" t="s">
        <v>176</v>
      </c>
      <c r="B119" t="s">
        <v>15</v>
      </c>
      <c r="C119" s="1" t="s">
        <v>39</v>
      </c>
      <c r="D119" t="s">
        <v>55</v>
      </c>
      <c r="E119" t="s">
        <v>171</v>
      </c>
      <c r="F119" t="e">
        <f>VLOOKUP(Job[[#This Row],[UPDM field name]],#REF!,2,FALSE)</f>
        <v>#REF!</v>
      </c>
      <c r="G119" t="e">
        <f>VLOOKUP(Job[[#This Row],[UPDM field name]],#REF!,3,FALSE)</f>
        <v>#REF!</v>
      </c>
      <c r="H119" t="e">
        <f>VLOOKUP(Job[[#This Row],[UPDM field name]],#REF!,4,FALSE)</f>
        <v>#REF!</v>
      </c>
    </row>
    <row r="120" spans="1:9" x14ac:dyDescent="0.3">
      <c r="A120" t="s">
        <v>177</v>
      </c>
      <c r="B120" t="s">
        <v>12</v>
      </c>
      <c r="C120" s="1"/>
      <c r="F120" t="e">
        <f>VLOOKUP(Job[[#This Row],[UPDM field name]],#REF!,2,FALSE)</f>
        <v>#REF!</v>
      </c>
      <c r="G120" t="e">
        <f>VLOOKUP(Job[[#This Row],[UPDM field name]],#REF!,3,FALSE)</f>
        <v>#REF!</v>
      </c>
      <c r="H120" t="e">
        <f>VLOOKUP(Job[[#This Row],[UPDM field name]],#REF!,4,FALSE)</f>
        <v>#REF!</v>
      </c>
    </row>
    <row r="121" spans="1:9" x14ac:dyDescent="0.3">
      <c r="A121" t="s">
        <v>177</v>
      </c>
      <c r="B121" t="s">
        <v>15</v>
      </c>
      <c r="C121" t="s">
        <v>39</v>
      </c>
      <c r="D121" s="1" t="s">
        <v>57</v>
      </c>
      <c r="E121" t="s">
        <v>178</v>
      </c>
      <c r="F121" t="e">
        <f>VLOOKUP(Job[[#This Row],[UPDM field name]],#REF!,2,FALSE)</f>
        <v>#REF!</v>
      </c>
      <c r="G121" t="e">
        <f>VLOOKUP(Job[[#This Row],[UPDM field name]],#REF!,3,FALSE)</f>
        <v>#REF!</v>
      </c>
      <c r="H121" t="e">
        <f>VLOOKUP(Job[[#This Row],[UPDM field name]],#REF!,4,FALSE)</f>
        <v>#REF!</v>
      </c>
    </row>
    <row r="122" spans="1:9" x14ac:dyDescent="0.3">
      <c r="A122" t="s">
        <v>179</v>
      </c>
      <c r="B122" t="s">
        <v>12</v>
      </c>
      <c r="C122" s="1" t="s">
        <v>169</v>
      </c>
      <c r="D122" t="s">
        <v>60</v>
      </c>
      <c r="E122" t="s">
        <v>170</v>
      </c>
      <c r="F122" t="e">
        <f>VLOOKUP(Job[[#This Row],[UPDM field name]],#REF!,2,FALSE)</f>
        <v>#REF!</v>
      </c>
      <c r="G122" t="e">
        <f>VLOOKUP(Job[[#This Row],[UPDM field name]],#REF!,3,FALSE)</f>
        <v>#REF!</v>
      </c>
      <c r="H122" t="e">
        <f>VLOOKUP(Job[[#This Row],[UPDM field name]],#REF!,4,FALSE)</f>
        <v>#REF!</v>
      </c>
    </row>
    <row r="123" spans="1:9" x14ac:dyDescent="0.3">
      <c r="A123" t="s">
        <v>179</v>
      </c>
      <c r="B123" t="s">
        <v>15</v>
      </c>
      <c r="C123" s="1" t="s">
        <v>39</v>
      </c>
      <c r="D123" t="s">
        <v>61</v>
      </c>
      <c r="E123" t="s">
        <v>178</v>
      </c>
      <c r="F123" t="e">
        <f>VLOOKUP(Job[[#This Row],[UPDM field name]],#REF!,2,FALSE)</f>
        <v>#REF!</v>
      </c>
      <c r="G123" t="e">
        <f>VLOOKUP(Job[[#This Row],[UPDM field name]],#REF!,3,FALSE)</f>
        <v>#REF!</v>
      </c>
      <c r="H123" t="e">
        <f>VLOOKUP(Job[[#This Row],[UPDM field name]],#REF!,4,FALSE)</f>
        <v>#REF!</v>
      </c>
    </row>
    <row r="124" spans="1:9" x14ac:dyDescent="0.3">
      <c r="A124" t="s">
        <v>180</v>
      </c>
      <c r="B124" t="s">
        <v>12</v>
      </c>
      <c r="C124" s="1" t="s">
        <v>169</v>
      </c>
      <c r="D124" t="s">
        <v>63</v>
      </c>
      <c r="E124" t="s">
        <v>170</v>
      </c>
      <c r="F124" t="e">
        <f>VLOOKUP(Job[[#This Row],[UPDM field name]],#REF!,2,FALSE)</f>
        <v>#REF!</v>
      </c>
      <c r="G124" t="e">
        <f>VLOOKUP(Job[[#This Row],[UPDM field name]],#REF!,3,FALSE)</f>
        <v>#REF!</v>
      </c>
      <c r="H124" t="e">
        <f>VLOOKUP(Job[[#This Row],[UPDM field name]],#REF!,4,FALSE)</f>
        <v>#REF!</v>
      </c>
    </row>
    <row r="125" spans="1:9" x14ac:dyDescent="0.3">
      <c r="A125" t="s">
        <v>180</v>
      </c>
      <c r="B125" t="s">
        <v>15</v>
      </c>
      <c r="C125" s="1" t="s">
        <v>39</v>
      </c>
      <c r="D125" t="s">
        <v>64</v>
      </c>
      <c r="E125" t="s">
        <v>171</v>
      </c>
      <c r="F125" t="e">
        <f>VLOOKUP(Job[[#This Row],[UPDM field name]],#REF!,2,FALSE)</f>
        <v>#REF!</v>
      </c>
      <c r="G125" t="e">
        <f>VLOOKUP(Job[[#This Row],[UPDM field name]],#REF!,3,FALSE)</f>
        <v>#REF!</v>
      </c>
      <c r="H125" t="e">
        <f>VLOOKUP(Job[[#This Row],[UPDM field name]],#REF!,4,FALSE)</f>
        <v>#REF!</v>
      </c>
    </row>
    <row r="126" spans="1:9" x14ac:dyDescent="0.3">
      <c r="A126" t="s">
        <v>181</v>
      </c>
      <c r="B126" t="s">
        <v>12</v>
      </c>
      <c r="C126" s="1" t="s">
        <v>169</v>
      </c>
      <c r="D126" t="s">
        <v>66</v>
      </c>
      <c r="E126" t="s">
        <v>170</v>
      </c>
      <c r="F126" t="e">
        <f>VLOOKUP(Job[[#This Row],[UPDM field name]],#REF!,2,FALSE)</f>
        <v>#REF!</v>
      </c>
      <c r="G126" t="e">
        <f>VLOOKUP(Job[[#This Row],[UPDM field name]],#REF!,3,FALSE)</f>
        <v>#REF!</v>
      </c>
      <c r="H126" t="e">
        <f>VLOOKUP(Job[[#This Row],[UPDM field name]],#REF!,4,FALSE)</f>
        <v>#REF!</v>
      </c>
    </row>
    <row r="127" spans="1:9" x14ac:dyDescent="0.3">
      <c r="A127" t="s">
        <v>181</v>
      </c>
      <c r="B127" t="s">
        <v>15</v>
      </c>
      <c r="C127" s="1" t="s">
        <v>39</v>
      </c>
      <c r="D127" t="s">
        <v>67</v>
      </c>
      <c r="E127" t="s">
        <v>171</v>
      </c>
      <c r="F127" t="e">
        <f>VLOOKUP(Job[[#This Row],[UPDM field name]],#REF!,2,FALSE)</f>
        <v>#REF!</v>
      </c>
      <c r="G127" t="e">
        <f>VLOOKUP(Job[[#This Row],[UPDM field name]],#REF!,3,FALSE)</f>
        <v>#REF!</v>
      </c>
      <c r="H127" t="e">
        <f>VLOOKUP(Job[[#This Row],[UPDM field name]],#REF!,4,FALSE)</f>
        <v>#REF!</v>
      </c>
    </row>
    <row r="128" spans="1:9" x14ac:dyDescent="0.3">
      <c r="A128" t="s">
        <v>182</v>
      </c>
      <c r="B128" t="s">
        <v>12</v>
      </c>
      <c r="C128" s="1" t="s">
        <v>183</v>
      </c>
      <c r="F128" t="e">
        <f>VLOOKUP(Job[[#This Row],[UPDM field name]],#REF!,2,FALSE)</f>
        <v>#REF!</v>
      </c>
      <c r="G128" t="e">
        <f>VLOOKUP(Job[[#This Row],[UPDM field name]],#REF!,3,FALSE)</f>
        <v>#REF!</v>
      </c>
      <c r="H128" t="e">
        <f>VLOOKUP(Job[[#This Row],[UPDM field name]],#REF!,4,FALSE)</f>
        <v>#REF!</v>
      </c>
      <c r="I128" t="s">
        <v>184</v>
      </c>
    </row>
    <row r="129" spans="1:10" x14ac:dyDescent="0.3">
      <c r="A129" t="s">
        <v>182</v>
      </c>
      <c r="B129" t="s">
        <v>15</v>
      </c>
      <c r="C129" t="s">
        <v>185</v>
      </c>
      <c r="D129" t="s">
        <v>186</v>
      </c>
      <c r="E129" t="s">
        <v>187</v>
      </c>
      <c r="F129" t="e">
        <f>VLOOKUP(Job[[#This Row],[UPDM field name]],#REF!,2,FALSE)</f>
        <v>#REF!</v>
      </c>
      <c r="G129" t="e">
        <f>VLOOKUP(Job[[#This Row],[UPDM field name]],#REF!,3,FALSE)</f>
        <v>#REF!</v>
      </c>
      <c r="H129" t="e">
        <f>VLOOKUP(Job[[#This Row],[UPDM field name]],#REF!,4,FALSE)</f>
        <v>#REF!</v>
      </c>
      <c r="J129" t="s">
        <v>188</v>
      </c>
    </row>
    <row r="130" spans="1:10" x14ac:dyDescent="0.3">
      <c r="A130" t="s">
        <v>189</v>
      </c>
      <c r="B130" t="s">
        <v>12</v>
      </c>
      <c r="F130" t="e">
        <f>VLOOKUP(Job[[#This Row],[UPDM field name]],#REF!,2,FALSE)</f>
        <v>#REF!</v>
      </c>
      <c r="G130" t="e">
        <f>VLOOKUP(Job[[#This Row],[UPDM field name]],#REF!,3,FALSE)</f>
        <v>#REF!</v>
      </c>
      <c r="H130" t="e">
        <f>VLOOKUP(Job[[#This Row],[UPDM field name]],#REF!,4,FALSE)</f>
        <v>#REF!</v>
      </c>
    </row>
    <row r="131" spans="1:10" x14ac:dyDescent="0.3">
      <c r="A131" t="s">
        <v>189</v>
      </c>
      <c r="B131" t="s">
        <v>15</v>
      </c>
      <c r="C131" t="s">
        <v>16</v>
      </c>
      <c r="D131" t="s">
        <v>96</v>
      </c>
      <c r="F131" t="e">
        <f>VLOOKUP(Job[[#This Row],[UPDM field name]],#REF!,2,FALSE)</f>
        <v>#REF!</v>
      </c>
      <c r="G131" t="e">
        <f>VLOOKUP(Job[[#This Row],[UPDM field name]],#REF!,3,FALSE)</f>
        <v>#REF!</v>
      </c>
      <c r="H131" t="e">
        <f>VLOOKUP(Job[[#This Row],[UPDM field name]],#REF!,4,FALSE)</f>
        <v>#REF!</v>
      </c>
    </row>
    <row r="132" spans="1:10" x14ac:dyDescent="0.3">
      <c r="A132" t="s">
        <v>190</v>
      </c>
      <c r="B132" t="s">
        <v>12</v>
      </c>
      <c r="C132" t="s">
        <v>69</v>
      </c>
      <c r="D132" t="s">
        <v>191</v>
      </c>
      <c r="F132" t="e">
        <f>VLOOKUP(Job[[#This Row],[UPDM field name]],#REF!,2,FALSE)</f>
        <v>#REF!</v>
      </c>
      <c r="G132" t="e">
        <f>VLOOKUP(Job[[#This Row],[UPDM field name]],#REF!,3,FALSE)</f>
        <v>#REF!</v>
      </c>
      <c r="H132" t="e">
        <f>VLOOKUP(Job[[#This Row],[UPDM field name]],#REF!,4,FALSE)</f>
        <v>#REF!</v>
      </c>
    </row>
    <row r="133" spans="1:10" x14ac:dyDescent="0.3">
      <c r="A133" t="s">
        <v>190</v>
      </c>
      <c r="B133" t="s">
        <v>15</v>
      </c>
      <c r="C133" t="s">
        <v>16</v>
      </c>
      <c r="D133" t="s">
        <v>192</v>
      </c>
      <c r="F133" t="e">
        <f>VLOOKUP(Job[[#This Row],[UPDM field name]],#REF!,2,FALSE)</f>
        <v>#REF!</v>
      </c>
      <c r="G133" t="e">
        <f>VLOOKUP(Job[[#This Row],[UPDM field name]],#REF!,3,FALSE)</f>
        <v>#REF!</v>
      </c>
      <c r="H133" t="e">
        <f>VLOOKUP(Job[[#This Row],[UPDM field name]],#REF!,4,FALSE)</f>
        <v>#REF!</v>
      </c>
    </row>
    <row r="134" spans="1:10" x14ac:dyDescent="0.3">
      <c r="A134" t="s">
        <v>193</v>
      </c>
      <c r="B134" t="s">
        <v>12</v>
      </c>
      <c r="C134" s="1" t="s">
        <v>109</v>
      </c>
      <c r="D134" t="s">
        <v>193</v>
      </c>
      <c r="E134" t="s">
        <v>110</v>
      </c>
      <c r="F134" t="e">
        <f>VLOOKUP(Job[[#This Row],[UPDM field name]],#REF!,2,FALSE)</f>
        <v>#REF!</v>
      </c>
      <c r="G134" t="e">
        <f>VLOOKUP(Job[[#This Row],[UPDM field name]],#REF!,3,FALSE)</f>
        <v>#REF!</v>
      </c>
      <c r="H134" t="e">
        <f>VLOOKUP(Job[[#This Row],[UPDM field name]],#REF!,4,FALSE)</f>
        <v>#REF!</v>
      </c>
    </row>
    <row r="135" spans="1:10" x14ac:dyDescent="0.3">
      <c r="A135" t="s">
        <v>193</v>
      </c>
      <c r="B135" t="s">
        <v>15</v>
      </c>
      <c r="C135" t="s">
        <v>194</v>
      </c>
      <c r="D135" t="s">
        <v>195</v>
      </c>
      <c r="E135" t="s">
        <v>196</v>
      </c>
      <c r="F135" t="e">
        <f>VLOOKUP(Job[[#This Row],[UPDM field name]],#REF!,2,FALSE)</f>
        <v>#REF!</v>
      </c>
      <c r="G135" t="e">
        <f>VLOOKUP(Job[[#This Row],[UPDM field name]],#REF!,3,FALSE)</f>
        <v>#REF!</v>
      </c>
      <c r="H135" t="e">
        <f>VLOOKUP(Job[[#This Row],[UPDM field name]],#REF!,4,FALSE)</f>
        <v>#REF!</v>
      </c>
    </row>
    <row r="136" spans="1:10" x14ac:dyDescent="0.3">
      <c r="A136" t="s">
        <v>197</v>
      </c>
      <c r="B136" t="s">
        <v>12</v>
      </c>
      <c r="C136" t="s">
        <v>69</v>
      </c>
      <c r="D136" t="s">
        <v>198</v>
      </c>
      <c r="F136" t="e">
        <f>VLOOKUP(Job[[#This Row],[UPDM field name]],#REF!,2,FALSE)</f>
        <v>#REF!</v>
      </c>
      <c r="G136" t="e">
        <f>VLOOKUP(Job[[#This Row],[UPDM field name]],#REF!,3,FALSE)</f>
        <v>#REF!</v>
      </c>
      <c r="H136" t="e">
        <f>VLOOKUP(Job[[#This Row],[UPDM field name]],#REF!,4,FALSE)</f>
        <v>#REF!</v>
      </c>
    </row>
    <row r="137" spans="1:10" x14ac:dyDescent="0.3">
      <c r="A137" t="s">
        <v>197</v>
      </c>
      <c r="B137" t="s">
        <v>15</v>
      </c>
      <c r="C137" t="s">
        <v>16</v>
      </c>
      <c r="D137" t="s">
        <v>96</v>
      </c>
      <c r="F137" t="e">
        <f>VLOOKUP(Job[[#This Row],[UPDM field name]],#REF!,2,FALSE)</f>
        <v>#REF!</v>
      </c>
      <c r="G137" t="e">
        <f>VLOOKUP(Job[[#This Row],[UPDM field name]],#REF!,3,FALSE)</f>
        <v>#REF!</v>
      </c>
      <c r="H137" t="e">
        <f>VLOOKUP(Job[[#This Row],[UPDM field name]],#REF!,4,FALSE)</f>
        <v>#REF!</v>
      </c>
      <c r="I137" t="s">
        <v>199</v>
      </c>
    </row>
    <row r="138" spans="1:10" x14ac:dyDescent="0.3">
      <c r="A138" t="s">
        <v>200</v>
      </c>
      <c r="B138" t="s">
        <v>12</v>
      </c>
      <c r="C138" t="s">
        <v>125</v>
      </c>
      <c r="D138" t="s">
        <v>201</v>
      </c>
      <c r="F138" t="e">
        <f>VLOOKUP(Job[[#This Row],[UPDM field name]],#REF!,2,FALSE)</f>
        <v>#REF!</v>
      </c>
      <c r="G138" t="e">
        <f>VLOOKUP(Job[[#This Row],[UPDM field name]],#REF!,3,FALSE)</f>
        <v>#REF!</v>
      </c>
      <c r="H138" t="e">
        <f>VLOOKUP(Job[[#This Row],[UPDM field name]],#REF!,4,FALSE)</f>
        <v>#REF!</v>
      </c>
      <c r="J138" t="s">
        <v>202</v>
      </c>
    </row>
    <row r="139" spans="1:10" x14ac:dyDescent="0.3">
      <c r="A139" t="s">
        <v>200</v>
      </c>
      <c r="B139" t="s">
        <v>15</v>
      </c>
      <c r="C139" t="s">
        <v>16</v>
      </c>
      <c r="D139" t="s">
        <v>203</v>
      </c>
      <c r="F139" t="e">
        <f>VLOOKUP(Job[[#This Row],[UPDM field name]],#REF!,2,FALSE)</f>
        <v>#REF!</v>
      </c>
      <c r="G139" t="e">
        <f>VLOOKUP(Job[[#This Row],[UPDM field name]],#REF!,3,FALSE)</f>
        <v>#REF!</v>
      </c>
      <c r="H139" t="e">
        <f>VLOOKUP(Job[[#This Row],[UPDM field name]],#REF!,4,FALSE)</f>
        <v>#REF!</v>
      </c>
    </row>
    <row r="140" spans="1:10" x14ac:dyDescent="0.3">
      <c r="A140" t="s">
        <v>204</v>
      </c>
      <c r="B140" t="s">
        <v>12</v>
      </c>
      <c r="C140" s="1" t="s">
        <v>109</v>
      </c>
      <c r="D140" t="s">
        <v>204</v>
      </c>
      <c r="E140" t="s">
        <v>110</v>
      </c>
      <c r="F140" t="e">
        <f>VLOOKUP(Job[[#This Row],[UPDM field name]],#REF!,2,FALSE)</f>
        <v>#REF!</v>
      </c>
      <c r="G140" t="e">
        <f>VLOOKUP(Job[[#This Row],[UPDM field name]],#REF!,3,FALSE)</f>
        <v>#REF!</v>
      </c>
      <c r="H140" t="e">
        <f>VLOOKUP(Job[[#This Row],[UPDM field name]],#REF!,4,FALSE)</f>
        <v>#REF!</v>
      </c>
    </row>
    <row r="141" spans="1:10" x14ac:dyDescent="0.3">
      <c r="A141" t="s">
        <v>204</v>
      </c>
      <c r="B141" t="s">
        <v>15</v>
      </c>
      <c r="C141" t="s">
        <v>194</v>
      </c>
      <c r="D141" t="s">
        <v>205</v>
      </c>
      <c r="E141" t="s">
        <v>196</v>
      </c>
      <c r="F141" t="e">
        <f>VLOOKUP(Job[[#This Row],[UPDM field name]],#REF!,2,FALSE)</f>
        <v>#REF!</v>
      </c>
      <c r="G141" t="e">
        <f>VLOOKUP(Job[[#This Row],[UPDM field name]],#REF!,3,FALSE)</f>
        <v>#REF!</v>
      </c>
      <c r="H141" t="e">
        <f>VLOOKUP(Job[[#This Row],[UPDM field name]],#REF!,4,FALSE)</f>
        <v>#REF!</v>
      </c>
    </row>
    <row r="142" spans="1:10" x14ac:dyDescent="0.3">
      <c r="A142" t="s">
        <v>206</v>
      </c>
      <c r="B142" t="s">
        <v>12</v>
      </c>
      <c r="C142" t="s">
        <v>69</v>
      </c>
      <c r="D142" t="s">
        <v>207</v>
      </c>
      <c r="F142" t="e">
        <f>VLOOKUP(Job[[#This Row],[UPDM field name]],#REF!,2,FALSE)</f>
        <v>#REF!</v>
      </c>
      <c r="G142" t="e">
        <f>VLOOKUP(Job[[#This Row],[UPDM field name]],#REF!,3,FALSE)</f>
        <v>#REF!</v>
      </c>
      <c r="H142" t="e">
        <f>VLOOKUP(Job[[#This Row],[UPDM field name]],#REF!,4,FALSE)</f>
        <v>#REF!</v>
      </c>
    </row>
    <row r="143" spans="1:10" x14ac:dyDescent="0.3">
      <c r="A143" t="s">
        <v>206</v>
      </c>
      <c r="B143" t="s">
        <v>15</v>
      </c>
      <c r="C143" t="s">
        <v>16</v>
      </c>
      <c r="D143" t="s">
        <v>208</v>
      </c>
      <c r="F143" t="e">
        <f>VLOOKUP(Job[[#This Row],[UPDM field name]],#REF!,2,FALSE)</f>
        <v>#REF!</v>
      </c>
      <c r="G143" t="e">
        <f>VLOOKUP(Job[[#This Row],[UPDM field name]],#REF!,3,FALSE)</f>
        <v>#REF!</v>
      </c>
      <c r="H143" t="e">
        <f>VLOOKUP(Job[[#This Row],[UPDM field name]],#REF!,4,FALSE)</f>
        <v>#REF!</v>
      </c>
    </row>
    <row r="144" spans="1:10" x14ac:dyDescent="0.3">
      <c r="A144" t="s">
        <v>209</v>
      </c>
      <c r="B144" t="s">
        <v>12</v>
      </c>
      <c r="C144" t="s">
        <v>69</v>
      </c>
      <c r="D144" t="s">
        <v>210</v>
      </c>
      <c r="F144" t="e">
        <f>VLOOKUP(Job[[#This Row],[UPDM field name]],#REF!,2,FALSE)</f>
        <v>#REF!</v>
      </c>
      <c r="G144" t="e">
        <f>VLOOKUP(Job[[#This Row],[UPDM field name]],#REF!,3,FALSE)</f>
        <v>#REF!</v>
      </c>
      <c r="H144" t="e">
        <f>VLOOKUP(Job[[#This Row],[UPDM field name]],#REF!,4,FALSE)</f>
        <v>#REF!</v>
      </c>
    </row>
    <row r="145" spans="1:8" x14ac:dyDescent="0.3">
      <c r="A145" t="s">
        <v>209</v>
      </c>
      <c r="B145" t="s">
        <v>15</v>
      </c>
      <c r="C145" t="s">
        <v>16</v>
      </c>
      <c r="D145" t="s">
        <v>211</v>
      </c>
      <c r="F145" t="e">
        <f>VLOOKUP(Job[[#This Row],[UPDM field name]],#REF!,2,FALSE)</f>
        <v>#REF!</v>
      </c>
      <c r="G145" t="e">
        <f>VLOOKUP(Job[[#This Row],[UPDM field name]],#REF!,3,FALSE)</f>
        <v>#REF!</v>
      </c>
      <c r="H145" t="e">
        <f>VLOOKUP(Job[[#This Row],[UPDM field name]],#REF!,4,FALSE)</f>
        <v>#REF!</v>
      </c>
    </row>
  </sheetData>
  <conditionalFormatting sqref="A2:A145">
    <cfRule type="duplicateValues" dxfId="0" priority="54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</vt:lpstr>
    </vt:vector>
  </TitlesOfParts>
  <Manager/>
  <Company>SGL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Jens Christiansen</dc:creator>
  <cp:keywords/>
  <dc:description/>
  <cp:lastModifiedBy>Volodymyr Martseniuk (Consultant)</cp:lastModifiedBy>
  <cp:revision/>
  <dcterms:created xsi:type="dcterms:W3CDTF">2026-07-07T07:49:34Z</dcterms:created>
  <dcterms:modified xsi:type="dcterms:W3CDTF">2026-07-29T11:40:56Z</dcterms:modified>
  <cp:category/>
  <cp:contentStatus/>
</cp:coreProperties>
</file>